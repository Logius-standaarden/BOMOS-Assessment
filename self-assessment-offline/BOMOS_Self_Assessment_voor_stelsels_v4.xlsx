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drawings/drawing6.xml" ContentType="application/vnd.openxmlformats-officedocument.drawing+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Mijn documenten\buro 2832025\bomos\"/>
    </mc:Choice>
  </mc:AlternateContent>
  <xr:revisionPtr revIDLastSave="0" documentId="13_ncr:1_{AD954DC1-FBA7-4527-9E9D-C842FDA7A66E}" xr6:coauthVersionLast="47" xr6:coauthVersionMax="47" xr10:uidLastSave="{00000000-0000-0000-0000-000000000000}"/>
  <workbookProtection workbookAlgorithmName="SHA-512" workbookHashValue="K/2FEEvuN7PJV/nB/D2AEO2+FQ7j43+SBK5H7Kb3/YBH7GaJQMXGk67G09DTH27M1oAzcHq7BtOWNaT4CobWCQ==" workbookSaltValue="i5VF8jmxWyY8VrmH5rVQfQ==" workbookSpinCount="100000" lockStructure="1"/>
  <bookViews>
    <workbookView xWindow="28680" yWindow="-120" windowWidth="29040" windowHeight="15720" tabRatio="759" xr2:uid="{00000000-000D-0000-FFFF-FFFF00000000}"/>
  </bookViews>
  <sheets>
    <sheet name="Toelichting" sheetId="9" r:id="rId1"/>
    <sheet name="Strategie" sheetId="1" r:id="rId2"/>
    <sheet name="Tactiek" sheetId="6" r:id="rId3"/>
    <sheet name="Operationeel" sheetId="7" r:id="rId4"/>
    <sheet name="Implementatie Ondersteuning" sheetId="4" r:id="rId5"/>
    <sheet name="Communicatie" sheetId="8" r:id="rId6"/>
    <sheet name="Open" sheetId="10" state="hidden" r:id="rId7"/>
    <sheet name="Resultaten" sheetId="13" r:id="rId8"/>
    <sheet name="_invoervelden" sheetId="11" state="hidden" r:id="rId9"/>
    <sheet name="_output" sheetId="12" state="hidden" r:id="rId10"/>
  </sheets>
  <definedNames>
    <definedName name="_xlnm._FilterDatabase" localSheetId="5" hidden="1">Communicatie!$A$1:$G$11</definedName>
    <definedName name="_xlnm._FilterDatabase" localSheetId="4" hidden="1">'Implementatie Ondersteuning'!$A$1:$G$15</definedName>
    <definedName name="_xlnm._FilterDatabase" localSheetId="3" hidden="1">Operationeel!$A$1:$G$16</definedName>
    <definedName name="_xlnm._FilterDatabase" localSheetId="1" hidden="1">Strategie!$A$1:$G$22</definedName>
    <definedName name="_xlnm._FilterDatabase" localSheetId="2" hidden="1">Tactiek!$A$1:$G$16</definedName>
    <definedName name="_xlnm.Print_Area" localSheetId="7">Resultaten!$A$1:$G$9</definedName>
    <definedName name="Goal_State" localSheetId="7">Resultaten!#REF!</definedName>
    <definedName name="GoalState">Resultaten!#REF!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3" l="1"/>
  <c r="B15" i="13"/>
  <c r="B16" i="13"/>
  <c r="C67" i="12"/>
  <c r="C68" i="12"/>
  <c r="C66" i="12" s="1"/>
  <c r="C60" i="12"/>
  <c r="C17" i="12"/>
  <c r="C14" i="12"/>
  <c r="C22" i="12"/>
  <c r="C4" i="12"/>
  <c r="C5" i="12"/>
  <c r="C6" i="12"/>
  <c r="C7" i="12"/>
  <c r="C8" i="12"/>
  <c r="C9" i="12"/>
  <c r="C3" i="12"/>
  <c r="B8" i="13"/>
  <c r="D8" i="13"/>
  <c r="D4" i="13"/>
  <c r="C64" i="12" l="1"/>
  <c r="C4" i="13"/>
  <c r="C2" i="12"/>
  <c r="D5" i="13"/>
  <c r="D20" i="13" l="1"/>
  <c r="B12" i="13" l="1"/>
  <c r="D37" i="13" l="1"/>
  <c r="D36" i="13"/>
  <c r="D35" i="13"/>
  <c r="B37" i="13"/>
  <c r="B36" i="13"/>
  <c r="B35" i="13"/>
  <c r="B34" i="13"/>
  <c r="G34" i="13" s="1"/>
  <c r="D38" i="13"/>
  <c r="D31" i="13"/>
  <c r="D30" i="13"/>
  <c r="D29" i="13"/>
  <c r="D28" i="13"/>
  <c r="D27" i="13"/>
  <c r="B31" i="13"/>
  <c r="B30" i="13"/>
  <c r="B29" i="13"/>
  <c r="B28" i="13"/>
  <c r="B27" i="13"/>
  <c r="B26" i="13"/>
  <c r="G26" i="13" s="1"/>
  <c r="D32" i="13" l="1"/>
  <c r="D23" i="13"/>
  <c r="D22" i="13"/>
  <c r="D21" i="13"/>
  <c r="B23" i="13"/>
  <c r="B22" i="13"/>
  <c r="B21" i="13"/>
  <c r="B20" i="13"/>
  <c r="G19" i="13"/>
  <c r="B19" i="13"/>
  <c r="B11" i="13"/>
  <c r="B3" i="13"/>
  <c r="D7" i="13"/>
  <c r="C13" i="12"/>
  <c r="C19" i="12"/>
  <c r="C24" i="12"/>
  <c r="C27" i="12"/>
  <c r="C28" i="12"/>
  <c r="C29" i="12"/>
  <c r="C32" i="12"/>
  <c r="C33" i="12"/>
  <c r="C34" i="12"/>
  <c r="C37" i="12"/>
  <c r="C38" i="12"/>
  <c r="C39" i="12"/>
  <c r="C42" i="12"/>
  <c r="C43" i="12"/>
  <c r="C47" i="12"/>
  <c r="C46" i="12" s="1"/>
  <c r="C50" i="12"/>
  <c r="C15" i="13" s="1"/>
  <c r="E15" i="13" s="1"/>
  <c r="C52" i="12"/>
  <c r="C55" i="12"/>
  <c r="C56" i="12"/>
  <c r="C58" i="12"/>
  <c r="C61" i="12"/>
  <c r="C75" i="12"/>
  <c r="C76" i="12"/>
  <c r="C74" i="12" s="1"/>
  <c r="C79" i="12"/>
  <c r="C82" i="12"/>
  <c r="C81" i="12" s="1"/>
  <c r="C83" i="12"/>
  <c r="C86" i="12"/>
  <c r="C87" i="12"/>
  <c r="C85" i="12" s="1"/>
  <c r="C90" i="12"/>
  <c r="C91" i="12"/>
  <c r="C92" i="12"/>
  <c r="C95" i="12"/>
  <c r="C97" i="12"/>
  <c r="C100" i="12"/>
  <c r="C99" i="12" s="1"/>
  <c r="C101" i="12"/>
  <c r="D16" i="13"/>
  <c r="D14" i="13"/>
  <c r="D13" i="13"/>
  <c r="D12" i="13"/>
  <c r="D6" i="13"/>
  <c r="B6" i="13"/>
  <c r="A89" i="12"/>
  <c r="A78" i="12"/>
  <c r="A36" i="12"/>
  <c r="C54" i="12" l="1"/>
  <c r="C49" i="12"/>
  <c r="C26" i="12"/>
  <c r="C31" i="12"/>
  <c r="C29" i="13"/>
  <c r="E29" i="13" s="1"/>
  <c r="C44" i="12"/>
  <c r="C41" i="12" s="1"/>
  <c r="C36" i="12"/>
  <c r="C37" i="13"/>
  <c r="E37" i="13" s="1"/>
  <c r="C7" i="13"/>
  <c r="C18" i="12"/>
  <c r="C16" i="12" s="1"/>
  <c r="C31" i="13"/>
  <c r="E31" i="13" s="1"/>
  <c r="C30" i="13"/>
  <c r="E30" i="13" s="1"/>
  <c r="C28" i="13"/>
  <c r="E28" i="13" s="1"/>
  <c r="C96" i="12"/>
  <c r="C94" i="12" s="1"/>
  <c r="C23" i="13"/>
  <c r="E23" i="13" s="1"/>
  <c r="C89" i="12"/>
  <c r="C22" i="13"/>
  <c r="E22" i="13" s="1"/>
  <c r="C21" i="13"/>
  <c r="E21" i="13" s="1"/>
  <c r="C78" i="12"/>
  <c r="C35" i="13"/>
  <c r="E35" i="13" s="1"/>
  <c r="C72" i="12"/>
  <c r="C71" i="12" s="1"/>
  <c r="C20" i="13"/>
  <c r="C59" i="12"/>
  <c r="C16" i="13"/>
  <c r="E16" i="13" s="1"/>
  <c r="C51" i="12"/>
  <c r="C13" i="13"/>
  <c r="E13" i="13" s="1"/>
  <c r="C12" i="13"/>
  <c r="E12" i="13" s="1"/>
  <c r="D24" i="13"/>
  <c r="B14" i="13"/>
  <c r="B13" i="13"/>
  <c r="B7" i="13"/>
  <c r="B5" i="13"/>
  <c r="B4" i="13"/>
  <c r="C36" i="13" l="1"/>
  <c r="E36" i="13" s="1"/>
  <c r="C27" i="13"/>
  <c r="E27" i="13" s="1"/>
  <c r="C14" i="13"/>
  <c r="E14" i="13" s="1"/>
  <c r="C5" i="13"/>
  <c r="E5" i="13" s="1"/>
  <c r="C38" i="13"/>
  <c r="E38" i="13" s="1"/>
  <c r="E20" i="13"/>
  <c r="C24" i="13"/>
  <c r="E24" i="13" s="1"/>
  <c r="D17" i="13"/>
  <c r="E7" i="13"/>
  <c r="F7" i="13"/>
  <c r="D9" i="13"/>
  <c r="C32" i="13" l="1"/>
  <c r="E32" i="13" s="1"/>
  <c r="C17" i="13"/>
  <c r="E17" i="13" s="1"/>
  <c r="F5" i="13"/>
  <c r="E4" i="13"/>
  <c r="F4" i="13"/>
  <c r="A99" i="12"/>
  <c r="A94" i="12"/>
  <c r="A85" i="12"/>
  <c r="A81" i="12"/>
  <c r="A74" i="12"/>
  <c r="A71" i="12"/>
  <c r="C69" i="12"/>
  <c r="A66" i="12"/>
  <c r="C63" i="12"/>
  <c r="A63" i="12"/>
  <c r="A58" i="12"/>
  <c r="A54" i="12"/>
  <c r="A49" i="12"/>
  <c r="A46" i="12"/>
  <c r="A41" i="12"/>
  <c r="A31" i="12"/>
  <c r="C23" i="12"/>
  <c r="C12" i="12"/>
  <c r="C11" i="12" l="1"/>
  <c r="C8" i="13"/>
  <c r="E8" i="13" s="1"/>
  <c r="C21" i="12"/>
  <c r="C6" i="13"/>
  <c r="E6" i="13" l="1"/>
  <c r="C9" i="13"/>
  <c r="F9" i="13" l="1"/>
  <c r="E9"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tc={756C3E08-52EC-4043-A4EF-984D25589D90}</author>
    <author>Boer, Sander</author>
  </authors>
  <commentList>
    <comment ref="F1" authorId="0" shapeId="0" xr:uid="{00000000-0006-0000-01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1=ja, 2=nee, 3=aanpassing, 4=later, 5=nieuw</t>
      </text>
    </comment>
    <comment ref="G4" authorId="1" shapeId="0" xr:uid="{B676D224-61F2-4E64-97EF-51791B92D2E4}">
      <text>
        <r>
          <rPr>
            <b/>
            <sz val="9"/>
            <color indexed="81"/>
            <rFont val="Tahoma"/>
            <family val="2"/>
          </rPr>
          <t>Vul hier je opmerking 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tc={60ACC834-E17B-7F43-9BE1-2D2491A22F8D}</author>
  </authors>
  <commentList>
    <comment ref="F1" authorId="0" shapeId="0" xr:uid="{00000000-0006-0000-02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1=ja, 2=nee, 3=aanpassing, 4=later, 5=nieuw</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tc={43B1CE6E-A801-C64F-8847-E87A73EDAFB2}</author>
  </authors>
  <commentList>
    <comment ref="F1" authorId="0" shapeId="0" xr:uid="{00000000-0006-0000-03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1=ja, 2=nee, 3=aanpassing, 4=later, 5=nieuw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tc={6800970E-0A3D-FD42-B863-76941D98E7E8}</author>
  </authors>
  <commentList>
    <comment ref="F1" authorId="0" shapeId="0" xr:uid="{00000000-0006-0000-05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1=ja, 2=nee, 3=aanpassing, 4=later, 5=nieuw</t>
      </text>
    </comment>
  </commentList>
</comments>
</file>

<file path=xl/sharedStrings.xml><?xml version="1.0" encoding="utf-8"?>
<sst xmlns="http://schemas.openxmlformats.org/spreadsheetml/2006/main" count="519" uniqueCount="364">
  <si>
    <t>Strategie</t>
  </si>
  <si>
    <t>Governance</t>
  </si>
  <si>
    <t>G.1</t>
  </si>
  <si>
    <t>G.2</t>
  </si>
  <si>
    <t>G.3</t>
  </si>
  <si>
    <t>G.5</t>
  </si>
  <si>
    <t>G.6</t>
  </si>
  <si>
    <t>G.8</t>
  </si>
  <si>
    <t>G.9</t>
  </si>
  <si>
    <t>Visie</t>
  </si>
  <si>
    <t>Financiën</t>
  </si>
  <si>
    <t>V.1</t>
  </si>
  <si>
    <t>F.1</t>
  </si>
  <si>
    <t>F.3</t>
  </si>
  <si>
    <t>Implementatie Ondersteuning</t>
  </si>
  <si>
    <t>Opleiding</t>
  </si>
  <si>
    <t>Module Ontwikkeling</t>
  </si>
  <si>
    <t>P.1</t>
  </si>
  <si>
    <t>P.2</t>
  </si>
  <si>
    <t>Validatie &amp; Certificatie</t>
  </si>
  <si>
    <t>O.1</t>
  </si>
  <si>
    <t>H.1</t>
  </si>
  <si>
    <t>H.2</t>
  </si>
  <si>
    <t>VC.1</t>
  </si>
  <si>
    <t>VC.2</t>
  </si>
  <si>
    <t>Tactiek</t>
  </si>
  <si>
    <t>Adoptie &amp; Erkenning</t>
  </si>
  <si>
    <t>C.1</t>
  </si>
  <si>
    <t>C.2</t>
  </si>
  <si>
    <t>C.3</t>
  </si>
  <si>
    <t>AE.1</t>
  </si>
  <si>
    <t>AE.3</t>
  </si>
  <si>
    <t>AE.4</t>
  </si>
  <si>
    <t>MO.2</t>
  </si>
  <si>
    <t>Architectuur</t>
  </si>
  <si>
    <t>A.1</t>
  </si>
  <si>
    <t>A.2</t>
  </si>
  <si>
    <t>A.3</t>
  </si>
  <si>
    <t>Operationeel</t>
  </si>
  <si>
    <t>Initiatie</t>
  </si>
  <si>
    <t>Wensen &amp; eisen</t>
  </si>
  <si>
    <t>Ontwikkeling</t>
  </si>
  <si>
    <t>Uitvoering</t>
  </si>
  <si>
    <t>Documentatie</t>
  </si>
  <si>
    <t>WE.1</t>
  </si>
  <si>
    <t>WE.3</t>
  </si>
  <si>
    <t>ON.1</t>
  </si>
  <si>
    <t>ON.2</t>
  </si>
  <si>
    <t>U.1</t>
  </si>
  <si>
    <t>D.1</t>
  </si>
  <si>
    <t>D.2</t>
  </si>
  <si>
    <t>D.3</t>
  </si>
  <si>
    <t>Communicatie</t>
  </si>
  <si>
    <t>Promotie</t>
  </si>
  <si>
    <t>Publicatie</t>
  </si>
  <si>
    <t>Klachtenafhandeling</t>
  </si>
  <si>
    <t>PR.1</t>
  </si>
  <si>
    <t>PR.2</t>
  </si>
  <si>
    <t>PU.1</t>
  </si>
  <si>
    <t>PU.2</t>
  </si>
  <si>
    <t>KL.1</t>
  </si>
  <si>
    <t>Deelname</t>
  </si>
  <si>
    <t>Adoptiestrategie</t>
  </si>
  <si>
    <t>Adoptie-instrument</t>
  </si>
  <si>
    <t>Referentie-implementatie</t>
  </si>
  <si>
    <t>Afstemmingsplan</t>
  </si>
  <si>
    <t>Roadmapping</t>
  </si>
  <si>
    <t>RM.1</t>
  </si>
  <si>
    <t>MR-management</t>
  </si>
  <si>
    <t>Website met historie, publiek toegankelijk. Toegekend aan versie. Formele consultatie. Workshops of discussiebijeenkomsten. Onderscheid maken tussen fixes, en nieuwe zaken.</t>
  </si>
  <si>
    <t>Iedere belanghebbende kan formeel bezwaar aantekenen tegen de gevolgde procedure. Daarnaast kan informeel een klacht ingediend worden over de gevolgde procedure.</t>
  </si>
  <si>
    <t>Opleidingsaanbod</t>
  </si>
  <si>
    <t>Validatie service</t>
  </si>
  <si>
    <t>Promotiestrategie/ communicatieplan/ marketingplan</t>
  </si>
  <si>
    <t xml:space="preserve">Ontwikkelaar </t>
  </si>
  <si>
    <t xml:space="preserve">Inplementator </t>
  </si>
  <si>
    <t xml:space="preserve">Gebruiker </t>
  </si>
  <si>
    <t xml:space="preserve">1. Open Meeting </t>
  </si>
  <si>
    <t xml:space="preserve">X </t>
  </si>
  <si>
    <t xml:space="preserve">2. Consensus </t>
  </si>
  <si>
    <t xml:space="preserve">3. Due Process </t>
  </si>
  <si>
    <t xml:space="preserve">4. One World </t>
  </si>
  <si>
    <t xml:space="preserve">5. Open IPR </t>
  </si>
  <si>
    <t xml:space="preserve">6. Open Change </t>
  </si>
  <si>
    <t xml:space="preserve">7. Open Documents </t>
  </si>
  <si>
    <t xml:space="preserve">8. Open Interface </t>
  </si>
  <si>
    <t xml:space="preserve">9. Open Access </t>
  </si>
  <si>
    <t xml:space="preserve">10. Ongoing Support </t>
  </si>
  <si>
    <t xml:space="preserve">Eisen </t>
  </si>
  <si>
    <t>De governance, bestuurlijke organisatie en besluitvorming is ingericht</t>
  </si>
  <si>
    <t>Er is een inhoudelijke visie opgesteld over de richting van de ontwikkeling.</t>
  </si>
  <si>
    <t>Een financieel model voor de lange termijn garandeert dat de opbrengsten in overeenstemming zijn met de behoeften.</t>
  </si>
  <si>
    <t>Behoefteanalyse</t>
  </si>
  <si>
    <t>De juiste stakeholders participeren in de community en de juiste samenstelling wordt bewaakt.</t>
  </si>
  <si>
    <t>De samenhang van inhoudelijke producten is op hoofdlijnen getoetst en geformaliseerd in een roadmap.</t>
  </si>
  <si>
    <t>De activiteiten behorende bij het identificeren van nieuwe ideeën zijn opgetuigd.</t>
  </si>
  <si>
    <t>Maintenance Requests (MRs) worden opgesteld bij wensen en eisen.</t>
  </si>
  <si>
    <t>Aanpassingen worden technologie onafhankelijk en op conceptueel niveau uitgewerkt.</t>
  </si>
  <si>
    <t>Veranderingen in de specificatie worden vanuit conceptuele oplossingen uitgevoerd.</t>
  </si>
  <si>
    <t>Zorg ervoor dat klachten en incidenten niet de roadmap gaan sturen. Kleine veranderingen kunnen volgens de normale gang van zaken worden ingepland. Grote veranderingen kunnen waar nodig prioriteit krijgen, maar alleen na beoordeling van de sturende gremia.</t>
  </si>
  <si>
    <t xml:space="preserve">Het primaire beheerproces wordt gedocumenteerd en is voor iedereen inzichtelijk. </t>
  </si>
  <si>
    <t xml:space="preserve">Specificatie vrij beschikbaar
</t>
  </si>
  <si>
    <t xml:space="preserve">Er worden opleidingsmogelijkheden geboden aan verschillende gebruikersgroepen. </t>
  </si>
  <si>
    <t>Validaties en certificering toetsen de correctheid van implementaties.</t>
  </si>
  <si>
    <t>Klachten worden zorgvuldig behandeld en gebruikt in verbeteringstrajecten.</t>
  </si>
  <si>
    <t>kan bij stakeholdermanagement. Als je een open stelsel bent dan zijn dit de zaken die je moet volgen.</t>
  </si>
  <si>
    <t>Vraagtype</t>
  </si>
  <si>
    <t>Antwoordopties</t>
  </si>
  <si>
    <t>Yes/No</t>
  </si>
  <si>
    <t>No</t>
  </si>
  <si>
    <t>Nee</t>
  </si>
  <si>
    <t>Yes</t>
  </si>
  <si>
    <t>Ja</t>
  </si>
  <si>
    <t>optional</t>
  </si>
  <si>
    <t>Not required</t>
  </si>
  <si>
    <t>Niet van toepassing</t>
  </si>
  <si>
    <t>Yes/No/Unknown</t>
  </si>
  <si>
    <t>answer options</t>
  </si>
  <si>
    <t>Unknown</t>
  </si>
  <si>
    <t>Niet bekend</t>
  </si>
  <si>
    <t>Detailed</t>
  </si>
  <si>
    <t xml:space="preserve">Niet </t>
  </si>
  <si>
    <t>Partially</t>
  </si>
  <si>
    <t>Beperkt</t>
  </si>
  <si>
    <t>Averagely</t>
  </si>
  <si>
    <t>Gemiddeld / Redelijk</t>
  </si>
  <si>
    <t>Mostly</t>
  </si>
  <si>
    <t>Overwegend</t>
  </si>
  <si>
    <t>Fully</t>
  </si>
  <si>
    <t>Volledig</t>
  </si>
  <si>
    <t>Optional</t>
  </si>
  <si>
    <t>Completeness</t>
  </si>
  <si>
    <t>Incomplete</t>
  </si>
  <si>
    <t>Niet</t>
  </si>
  <si>
    <t>Partially complete</t>
  </si>
  <si>
    <t>Averagely complete</t>
  </si>
  <si>
    <t>Redelijk compleet</t>
  </si>
  <si>
    <t>Mostly complete</t>
  </si>
  <si>
    <t>Vrijwel compleet</t>
  </si>
  <si>
    <t>Fully complete</t>
  </si>
  <si>
    <t>Importance</t>
  </si>
  <si>
    <t>None</t>
  </si>
  <si>
    <t>Low</t>
  </si>
  <si>
    <t>Laag</t>
  </si>
  <si>
    <t>Normal</t>
  </si>
  <si>
    <t>Gemiddeld</t>
  </si>
  <si>
    <t>High</t>
  </si>
  <si>
    <t>Hoog</t>
  </si>
  <si>
    <t>Critical</t>
  </si>
  <si>
    <t>Kritisch</t>
  </si>
  <si>
    <t>Weighing</t>
  </si>
  <si>
    <t>x1</t>
  </si>
  <si>
    <t>x2</t>
  </si>
  <si>
    <t>x3</t>
  </si>
  <si>
    <t>x4</t>
  </si>
  <si>
    <t>x5</t>
  </si>
  <si>
    <t>Occurrence</t>
  </si>
  <si>
    <t>Never</t>
  </si>
  <si>
    <t>Nooit</t>
  </si>
  <si>
    <t>Sometimes</t>
  </si>
  <si>
    <t>Soms</t>
  </si>
  <si>
    <t>Regelmatig</t>
  </si>
  <si>
    <t>Vaak</t>
  </si>
  <si>
    <t>Always</t>
  </si>
  <si>
    <t>Altijd</t>
  </si>
  <si>
    <t>Satisfaction</t>
  </si>
  <si>
    <t>Somewhat</t>
  </si>
  <si>
    <t>Assessmentvraag per onderdeel</t>
  </si>
  <si>
    <t>Antwoord</t>
  </si>
  <si>
    <t xml:space="preserve">(Gemiddelde) Huidige positie </t>
  </si>
  <si>
    <t>Ambitie</t>
  </si>
  <si>
    <t>Gap</t>
  </si>
  <si>
    <t xml:space="preserve">Niveau </t>
  </si>
  <si>
    <t>Resultaten Selfassessment BOMOS</t>
  </si>
  <si>
    <t>Escalatie</t>
  </si>
  <si>
    <t>Toezicht</t>
  </si>
  <si>
    <t>Business Case</t>
  </si>
  <si>
    <t xml:space="preserve">Business Case
</t>
  </si>
  <si>
    <t>Benefits management</t>
  </si>
  <si>
    <t>BC.1</t>
  </si>
  <si>
    <t>Er is een goed inzicht in de te bereiken voordelen/benefits en de daarvoor benodigde inspanning/kosten.</t>
  </si>
  <si>
    <t>V2</t>
  </si>
  <si>
    <t>BC.3</t>
  </si>
  <si>
    <t>Vraag</t>
  </si>
  <si>
    <t>De business case is opgesteld en wordt onderhouden en op gestuurd.</t>
  </si>
  <si>
    <t>Business case</t>
  </si>
  <si>
    <t>Score</t>
  </si>
  <si>
    <r>
      <t>Score 
(houdt rekening met '</t>
    </r>
    <r>
      <rPr>
        <b/>
        <i/>
        <sz val="11"/>
        <rFont val="Calibri"/>
        <family val="2"/>
        <scheme val="minor"/>
      </rPr>
      <t>niet van toepassing'</t>
    </r>
    <r>
      <rPr>
        <b/>
        <sz val="11"/>
        <rFont val="Calibri"/>
        <family val="2"/>
        <scheme val="minor"/>
      </rPr>
      <t>)</t>
    </r>
  </si>
  <si>
    <t>De visie wordt actief gedeeld met de omgeving. De goverance organiseert draagvlak mbt visie.</t>
  </si>
  <si>
    <t xml:space="preserve">De visiedocumenten zijn publiek beschikbaar. De boodschap staat bijvoorbeeld op de site van een afsprakenstelsel. </t>
  </si>
  <si>
    <t>De relatie en afhankelijkheden met andere stelsels en standaarden zijn volledig in kaart gebracht.</t>
  </si>
  <si>
    <t>De website voldoet aan de Digitoegankelijk richtlijnen.  Deze site bevat nieuws over de ontwikkeling, adoptie en doelen van het stelsel. De website bevat instructies hoe men aan de volle specificaties komt. Verder moeten communicatielijnen duidelijk zijn, zowel voor vaste bezoekers als voor nieuw geïnteresseerde bezoekers.</t>
  </si>
  <si>
    <r>
      <t xml:space="preserve">Relevant 
Logius
</t>
    </r>
    <r>
      <rPr>
        <sz val="10"/>
        <color theme="0"/>
        <rFont val="Calibri (Hoofdtekst)"/>
      </rPr>
      <t>1=ja, 2=nee, 3=aanpassing, 4=later
5=nieuw</t>
    </r>
  </si>
  <si>
    <t>Gerichte sturing op de benefits borgt de daadwerkelijke realisatie daarvan. Wie er dient te sturen is sterk afhankelijk van de context.  Programma management raamwerken zoals MSP bieden hiervoor voldoende handvatten.</t>
  </si>
  <si>
    <t>Een publiek toegankelijk platform is beschikbaar waarbij wensen en eisen kunnen worden ingediend en waarvan de afhandeling kan worden gemonitord.</t>
  </si>
  <si>
    <t>Wijzigingen worden eerst conceptueel getoetst voordat ze technisch geïmplementeerd worden.</t>
  </si>
  <si>
    <t>Er bestaat een procedure wie klachten kan indienen en hoe deze behandeld worden.</t>
  </si>
  <si>
    <t>Totaal</t>
  </si>
  <si>
    <t>Een op de verschillende doelgroepen afgestemd communicatieplan is beschikbaar en wordt uitgevoerd.</t>
  </si>
  <si>
    <t>Meerdere kanalen/platforms worden benut voor de communicatie naar de verschillende doelgroepen.</t>
  </si>
  <si>
    <t xml:space="preserve">Relevant 
Logius
</t>
  </si>
  <si>
    <t>Relevant 
Logius</t>
  </si>
  <si>
    <t>Vastlegging afspraken</t>
  </si>
  <si>
    <t>Een stakeholder-analyse is uitgevoerd en vastgelegd. De analyse wordt periodiek herhaald om eventuele wijzigingen tijdig te onderkennen.</t>
  </si>
  <si>
    <t>Draagvlak</t>
  </si>
  <si>
    <t>Structureel financieel model</t>
  </si>
  <si>
    <t>Er moet een structureel financieringsmodel beschreven zijn dat realistische garanties geeft dat er jaarlijks structureel voldoende budget is om op zijn minst het stelsel te onderhouden. Een eenmalige subsidie voldoet dus zeker niet hieraan.</t>
  </si>
  <si>
    <t xml:space="preserve">Breng in kaart wat voor financiële behoefte het stelsel heeft. Houd hierbij ook rekening met de verwachtingen van stakeholders. Als er met een meerjarenbegroting wordt gerekend moet deze gebaseerd zijn op structurele inkomsten. </t>
  </si>
  <si>
    <t xml:space="preserve">Er is een duidelijk geëxpliciteerde visie over de bovenliggende doelstellingen en de bijdrage daaraan van het stelsel beschikbaar. </t>
  </si>
  <si>
    <t>Ambities en doelstellingen</t>
  </si>
  <si>
    <t>De volledige architectuur van het stelsel is beschreven.</t>
  </si>
  <si>
    <t>Inhoudelijke samenhang vastleggen</t>
  </si>
  <si>
    <t xml:space="preserve">Zorg voor een voor iedereen toegankelijk platform voor communicatie en informatie
</t>
  </si>
  <si>
    <t>Stelsel</t>
  </si>
  <si>
    <t>Datum</t>
  </si>
  <si>
    <t xml:space="preserve">Ontwikkelingscheiding
</t>
  </si>
  <si>
    <t>Een aanpassing aan het stelsel wordt eerst zorgvuldig ontworpen en getoetst voordat deze definitief wordt ingevoerd.</t>
  </si>
  <si>
    <t xml:space="preserve">Conceptuele oplossingen
</t>
  </si>
  <si>
    <t>Documentatie  beheerproces</t>
  </si>
  <si>
    <t>Modules en libraries</t>
  </si>
  <si>
    <t>Vernieuwing</t>
  </si>
  <si>
    <t>Vernieuwingsproces</t>
  </si>
  <si>
    <t xml:space="preserve">Inspectie en/of toetsing
</t>
  </si>
  <si>
    <t>Het proces voor vernieuwing met de bijbehorende beoordelingscriteria is beschreven.</t>
  </si>
  <si>
    <t>Inspecties en toetsingen zijn ingeregeld.</t>
  </si>
  <si>
    <t>Draag voordelen van het stelsel uit</t>
  </si>
  <si>
    <t>Het nut/noodzaak/voordeel van het stelsel wordt actief uitgedragen</t>
  </si>
  <si>
    <t>Draag op elk niveau de voordelen van stelsel uit. Weet wat de markt beweegt en welk probleem het oplost.</t>
  </si>
  <si>
    <t>De uitdaging blijft: hoe vermarkt ik het stelsel? Dit is niet anders dan bij “gewone” producten. De klassieke marketing aanpak kan ook voor een stelsel gebruikt worden.</t>
  </si>
  <si>
    <t>Pilot/vernieuwing</t>
  </si>
  <si>
    <t>Specificaties van het stelsel zijn beschikbaar en publiek toegankelijk.</t>
  </si>
  <si>
    <t xml:space="preserve">Openbaarheid documenten </t>
  </si>
  <si>
    <t>Alle relevante documenten zijn publiek toegankelijk.</t>
  </si>
  <si>
    <t>Besluitvorming/
huishoudelijk regelement</t>
  </si>
  <si>
    <t>Een procedure is aanwezig voor het laten deelnemen van organisaties aan de governance.</t>
  </si>
  <si>
    <t xml:space="preserve">Het is duidelijk  waar de  kwestie voor besluitvorming kan worden voorgelegd indien partijen er niet onderling uitkomen. </t>
  </si>
  <si>
    <t>De doelstellingen, resultaten en werkafspraken zijn vastgelegd en door de stakeholders en overige betrokkenen ondertekend/bekrachtigd. De gekozen vorm van vastlegging is daarbij passend voor alle betrokkenen.</t>
  </si>
  <si>
    <t>Een stakeholder-analyse opstellen is verstandig en in complexe situaties een must.
Voor de goverance is het van belang goed inzicht  in het speelveld te hebben en daarmee  de verbinding te organiseren.</t>
  </si>
  <si>
    <t xml:space="preserve">De organisatiestructuur is goed beschreven en onderbouwd. 
</t>
  </si>
  <si>
    <t>De besluitvormingsprocessen van de governance zijn beschreven waarbij het helder is welk gremium over welke onderwerpen gaat.</t>
  </si>
  <si>
    <t>Het is duidelijk waar welke belanghebbenden moeten deelnemen en welke rol zij dienen te vervullen.</t>
  </si>
  <si>
    <t>De stakeholders kunnen optimaal hun achterban bereiken en vertegenwoordigen. Daarmee zijn ze waardevol om draagvlak te creëren binnen de governance.</t>
  </si>
  <si>
    <t>De visie anticipeert op relevante technologische, maatschappelijke en juridische ontwikkelingen en bevat een strategie om hierop in te spelen.</t>
  </si>
  <si>
    <t>Een volwassen standaard of afsprakenstelsel heeft een visie die niet alleen de huidige situatie adresseert, maar ook anticipeert op toekomstige ontwikkelingen zoals nieuwe technologieën, veranderende gebruikersbehoeften, wijzigingen in wet- en regelgeving en maatschappelijke trends.</t>
  </si>
  <si>
    <t>Meebewegen</t>
  </si>
  <si>
    <t>De business case is transparant en wordt actief gebruikt in de besluitvorming over doorontwikkeling en investeringen in het stelsel</t>
  </si>
  <si>
    <t>In een volwassen afsprakenstelsel worden beslissingen over nieuwe functionaliteiten, wijzigingen of investeringen expliciet getoetst aan de business case, waarbij wordt gekeken naar de impact op de verwachte kosten en baten voor alle betrokken partijen.</t>
  </si>
  <si>
    <t>Toekomstbestendigheid</t>
  </si>
  <si>
    <t>Van toepassing voor afsprakenstelsels; wie controleert op de spelregels?</t>
  </si>
  <si>
    <t>Het afsprakenstelsel heeft een duidelijk gedefinieerde toezichthouder met formeel vastgelegde bevoegdheden en verantwoordelijkheden; hiermee is de toezichthouder onafhankelijk.</t>
  </si>
  <si>
    <t xml:space="preserve">Binnen een afsprakenstelsels bestaat in de ideale situatie een onafhankelijke toetsende derde  met voldoende middelen om in te grijpen bij niet naleving. </t>
  </si>
  <si>
    <t>Toezichthouder</t>
  </si>
  <si>
    <t>Mandaat</t>
  </si>
  <si>
    <t>V4</t>
  </si>
  <si>
    <t>BC.4</t>
  </si>
  <si>
    <t>F.2</t>
  </si>
  <si>
    <t>Transparantie</t>
  </si>
  <si>
    <t>Er is een voor alle doelgroepen begrijpelijke en goed vindbare toelichting beschikbaar</t>
  </si>
  <si>
    <t>Een animatie of filmpje op een website kan binnen enkele minuten duidelijkheid geven over de diensten van een stelsel. Zo ook wat het concreet voor gebruikers inhoudt.</t>
  </si>
  <si>
    <t>Duidelijke uitleg</t>
  </si>
  <si>
    <t>Er is een publiek toegankelijke, goed vindbare en gebruiksvriendelijke website of platform waarop alle relevante informatie, nieuws, documentatie en updates over het stelsel/standaard worden gepubliceerd.</t>
  </si>
  <si>
    <t>Borgt transparantie, vindbaarheid en laagdrempelige toegang tot informatie voor bestaande en potentiële gebruikers.</t>
  </si>
  <si>
    <t>Er is een procedure voor het publiceren van nieuwe versies, updates en belangrijke besluiten, inclusief tijdige aankondiging en duidelijke uitleg van de impact.</t>
  </si>
  <si>
    <t>Borgt voorspelbaarheid en transparantie bij wijzigingen</t>
  </si>
  <si>
    <t xml:space="preserve">Bezwaar- en klachtenprocedure </t>
  </si>
  <si>
    <t>PU.4</t>
  </si>
  <si>
    <t>Er is een systematische registratie en analyse van klachten, waarbij trends en structurele knelpunten worden gesignaleerd en deze informatie wordt ingezet voor het continu verbeteren van processen, producten of dienstverlening.</t>
  </si>
  <si>
    <t>PR.4</t>
  </si>
  <si>
    <t>KL.3</t>
  </si>
  <si>
    <t>Bereikbaarheid</t>
  </si>
  <si>
    <t>De helpdesk is bereikbaar via meerdere kanalen en deze kanalen zijn duidelijk gecommuniceerd aan alle stakeholders.</t>
  </si>
  <si>
    <t>Borgt laagdrempelige toegang tot ondersteuning.</t>
  </si>
  <si>
    <t>Ondersteuning</t>
  </si>
  <si>
    <t>Werkgroepen</t>
  </si>
  <si>
    <t>De ambities en doelstellingen van de werkgroep zijn formeel vastgelegd.</t>
  </si>
  <si>
    <t>Werkgroep organisatie</t>
  </si>
  <si>
    <t>Een succesvolle werkgroep kenmerkt zich o.a. door duidelijk belegde rollen en verantwoordelijkheden.</t>
  </si>
  <si>
    <t>Risicoanalyse</t>
  </si>
  <si>
    <t xml:space="preserve">Jaarplan/Ontwikkelagenda
</t>
  </si>
  <si>
    <t>Denk aan een jaarlijks uitgevoerde stelselrisico met de deelnemers binnen het stelsel.
Dit is een analyse die zich richt op wat er mis kan gaan en maatregelen om de kans of impact van het risico te verkleinen.</t>
  </si>
  <si>
    <t>De resultaten van de stelselrisicoanalyse maken onderdeel uit van een "plan do check act"- cyclus. De resultaten worden gedeeld met de governance.</t>
  </si>
  <si>
    <t>Kader</t>
  </si>
  <si>
    <t>Proces</t>
  </si>
  <si>
    <t>Versiebeheer</t>
  </si>
  <si>
    <t>Alle wijzigingen doorlopen een formeel wijzigingsproces, waarbij duidelijk is hoe voorstellen worden ingediend, beoordeeld, getest en geïmplementeerd. Er is beleid voor versiebeheer (major/minor/bugfixes) en voor het uitfaseren van verouderde versies.</t>
  </si>
  <si>
    <t xml:space="preserve">Specificaties
</t>
  </si>
  <si>
    <t>ON.3</t>
  </si>
  <si>
    <t>Het nut/noodzaak/voordeel van het afsprakenstelsel wordt actief uitgedragen</t>
  </si>
  <si>
    <t>Informatie over afsprakenstelsel is goed vindbaar op internet.</t>
  </si>
  <si>
    <t>Het afsprakenstelsel is in staat om verschillende stakeholders goed te bedienen met modules en libraries.</t>
  </si>
  <si>
    <t>Het afsprakenstelsel is in staat om te innoveren.</t>
  </si>
  <si>
    <t xml:space="preserve">Denk aan het aanbieden van een open implementatie, validator software,  API’s/libraries voor test en ontwikkelwerkzaamheden om eigen implementatie te maken. </t>
  </si>
  <si>
    <t>Een procesbeschrijving helpt dat het stelsel in staat is nieuwe ontwikkelingen tijdig te signaleren, te beoordelen op de mogelijke waarde voor het stelsel, te toetsen en eventueel te implementeren.</t>
  </si>
  <si>
    <t>Het aanbieden van validatie service (via helpdesk, online omgeving), adoptie werkt bevorderend.</t>
  </si>
  <si>
    <t>Er is documentatie met de beheerprocessen zoals een operationeel handboek waarbij de benodigde (ITIL) processen zijn beschreven.</t>
  </si>
  <si>
    <t xml:space="preserve">Het is belangrijk om alle documenten waar geen expliciete vertrouwelijkheid op rust, openbaar aan te bieden. Transparantie is een belangrijjke kernwaarde om draagvlak te realiseren. Op deze manier kan iedereen aan het afsprakenstelsel meewerken en meedenken.
</t>
  </si>
  <si>
    <t>Er is een adoptiestrategie ontwikkeld die gericht is op het vergroten van het draagvlak voor het afsprakenstelsel.</t>
  </si>
  <si>
    <t>Er is een strategie om adoptie van het afsprakenstelsel te verhogen.</t>
  </si>
  <si>
    <t>Er bestaat een kader met normen rond informatiebeveiliging  die van toepassing is op de geleverde diensten door de deelnemers binnen het afsprakenstelsel.</t>
  </si>
  <si>
    <t xml:space="preserve">	</t>
  </si>
  <si>
    <t>De governance stuurt concreet op het realiseren van maatschappelijke waarde van het stelsel.</t>
  </si>
  <si>
    <t>Structurele financiering voor de komende 2 tot 3 jaar is voor het afsprakenstelsel geregeld.</t>
  </si>
  <si>
    <t>De structurele financiering is gebaseerd op een grondige behoefte analyse voor het beheren en doorontwikkelen van het afsprakenstelsel.</t>
  </si>
  <si>
    <t>De toezichthouder heeft voldoende instrumenten en mandaat rond het uitvoeren van toezichttaken en de naleving van de eisen door de deelnemers binnen het afsprakenstelsel.</t>
  </si>
  <si>
    <t>Het is niet alleen kwantiteit maar ook kwaliteit van de instrumenten. Er is een goede verhouding nodig tussen zachte instrumenten tot en met hard ingrijpen zoals een boete of verwijdering.</t>
  </si>
  <si>
    <t xml:space="preserve">Organisatiestructuur/
organisatiebeleid </t>
  </si>
  <si>
    <t>Stakeholdersbetrokkenheid</t>
  </si>
  <si>
    <t>Stakeholderanalyse</t>
  </si>
  <si>
    <t>Een goed financieringsmodel voor een afsprakenstelsel moet de volgende eigenschappen hebben:
Proportionaliteit/ Flexibiliteit/ Evenwichtige verdeling / Voorspelbaarheid.</t>
  </si>
  <si>
    <t>Er is een transparant en gedocumenteerd escalatieproces voor het melden van niet-naleving van afspraken.</t>
  </si>
  <si>
    <t>Het financieringsmodel is toekomstbestendig en kan meegroeien met het aantal deelnemers.</t>
  </si>
  <si>
    <t>Werkgroep samenstelling</t>
  </si>
  <si>
    <t xml:space="preserve">Plan do check act cyclus rond risico's is ingeregeld.
</t>
  </si>
  <si>
    <t>Er is een transparant en toegankelijk proces voor het indienen, beoordelen en prioriteren van wensen en eisen door alle stakeholders.</t>
  </si>
  <si>
    <t>De specificaties, documentatie en hulpmiddelen voor implementatie zijn publiek beschikbaar en actueel.</t>
  </si>
  <si>
    <t>Er is een gestructureerd changemanagementproces ingericht, inclusief versiebeheer en uitfasering van oude versies.</t>
  </si>
  <si>
    <t>Het beheerproces is gedocumenteerd en publiek toegankelijk.</t>
  </si>
  <si>
    <t>Vernieuwen is een integraal onderdeel van het ontwerp van een afsprakenstelsel.</t>
  </si>
  <si>
    <t>Een validatieservice is aanwezig.</t>
  </si>
  <si>
    <t>Denk aan opleidingsmateriaal of een training/cursus.</t>
  </si>
  <si>
    <t xml:space="preserve">Helpdesk-functie </t>
  </si>
  <si>
    <t>Er is een helpdeskfunctie beschikbaar voor deelnemers en belanghebbenden. Je kan hier verstoringen melden en vragen stellen.</t>
  </si>
  <si>
    <t>Publicatieprocedure</t>
  </si>
  <si>
    <t xml:space="preserve">Logische plek voor communicatie </t>
  </si>
  <si>
    <t>Van klacht naar verbetering</t>
  </si>
  <si>
    <t>T.1</t>
  </si>
  <si>
    <t>T.2</t>
  </si>
  <si>
    <t>T.4</t>
  </si>
  <si>
    <t>RA.1</t>
  </si>
  <si>
    <t>RA.2</t>
  </si>
  <si>
    <t>RA.3</t>
  </si>
  <si>
    <t>Waarom belangrijk?</t>
  </si>
  <si>
    <t xml:space="preserve">De escalatieprocedures en lijnen zijn beschikbaar. </t>
  </si>
  <si>
    <t>Als duidelijk is wie waarover beslist, werken partijen makkelijker samen. Zonder een heldere structuur ontstaat onduidelijkheid en discussie.</t>
  </si>
  <si>
    <t>Als niemand weet hoe en door wie besluiten genomen worden, ontstaat onduidelijkheid of conflicten. Duidelijke regels voorkomen dat.</t>
  </si>
  <si>
    <t>Als niet duidelijk is hoe je kunt meedoen aan de governance, blijven organisaties buiten de deur. Een heldere procedure maakt de deelname laagdrempelig.</t>
  </si>
  <si>
    <t>Een gedeelde missie zorgt voor goede samenwerking. Leg doelen en afspraken daarom vroeg vast en laat alle partijen dit formeel bevestigen.</t>
  </si>
  <si>
    <t>Er is waar nodig  afstemming met vertegenwoordigers van overige afsprakenstelsels en standaarden. Dat kan ook internationaal.</t>
  </si>
  <si>
    <t>Als niet vastligt wat een werkgroep wil bereiken, werken groepen langs elkaar heen of dekken ze niet alles af. Heldere doelen per werkgroep voorkomen dat.</t>
  </si>
  <si>
    <t>Alle belangrijke partijen zijn goed vertegenwoordigd in de werkgroep, en er zijn manieren om hen actief te laten meedoen</t>
  </si>
  <si>
    <t>De rollen en verantwoordelijkheden binnen de werkgroep zijn gedefinieerd zoals wie de voorzitter of eigenaar is.</t>
  </si>
  <si>
    <t>Er is een adoptiestrategie: een plan om het gebruik van het stelsel te vergroten.</t>
  </si>
  <si>
    <t>Zonder actief plan blijft gebruik vaak achter. Wetgeving of convenanten helpen het meest, maar ook zonder dat kan een goede strategie adoptie stimuleren.</t>
  </si>
  <si>
    <t>Het is duidelijk welke middelen adoptie kunnen bevorderen (juridisch, financieel, communicatief), en de gekozen middelen worden ook echt ingezet.</t>
  </si>
  <si>
    <t>Er zijn drie soorten middelen: juridisch, financieel en communicatief. Verplichten werkt het sterkst. Is de kans op gebruik al hoog? Dan is goede communicatie vaak genoeg.</t>
  </si>
  <si>
    <t xml:space="preserve">Een referentie-implementatie is een middel om de werking en praktische haalbaarheid van een stelsel aan te tonen en helpt om de drempel voor gebruik te verlagen. </t>
  </si>
  <si>
    <t>Er bestaat een  referentie-implementatie om de verschillende stakeholders te overtuigen van de meerwaarde van het stelsel.</t>
  </si>
  <si>
    <t>Zonder een compleet architectuurplaatje mis je afhankelijkheden met andere stelsels en standaarden, en is niet duidelijk wat het stelsel wel en niet dekt.</t>
  </si>
  <si>
    <t xml:space="preserve">Stelsels kunnen elkaar versterken of afhankelijk zijn. Deze relaties moeten duidelijk zijn.  </t>
  </si>
  <si>
    <t xml:space="preserve">In het geval van relaties of afhankelijkheden helpt het om elkaar op de hoogte en daar waar nodig af te stemmen om  veranderingen goed te kunnen managen. </t>
  </si>
  <si>
    <t>Er is een roadmap of plan  opgesteld ﻿waarmee invulling wordt gegeven aan de  visie van het stelsel. Deze roadmap maakt duidelijk welke ontwikkeling op welk moment in de tijd gerealiseerd gaat worden.</t>
  </si>
  <si>
    <t xml:space="preserve">De roadmap vormt de basis wanneer verbeteringen beschikbaar komen. Dit biedt houvast voor gebruikers wanneer ze zelf moeten investeren en zicht in de mogeljike opbrengsten. </t>
  </si>
  <si>
    <t xml:space="preserve">Dat kan ook ingevuld zijn met een infobox. </t>
  </si>
  <si>
    <t>Er is een hulp beschikbaar die partijen die implemeren op weg kan helpen.</t>
  </si>
  <si>
    <t>Denk aan inspecties, toetsingen van derden en een ‘eigen verklaring’ van conformiteit
Test de (individuele) implementaties, bijvoorbeeld door een certificeringsprogramma op te stellen voor deelnemende leveranciers.</t>
  </si>
  <si>
    <t>Als iedereen weet hoe wensen worden ingediend, beoordeeld en geprioriteerd, kunnen stakeholders actief meedenken over de doorontwikkeling van het stelsel.</t>
  </si>
  <si>
    <t>Als specificaties en hulpmiddelen niet vrij toegankelijk zijn, kunnen stakeholders niet goed of correct implementeren.</t>
  </si>
  <si>
    <t>Als je een wijziging meteen technisch bouwt zonder 'm eerst goed te doordenken, loop je het risico op problemen die je vooraf had kunnen zien.</t>
  </si>
  <si>
    <t>Zonder vrij toegankelijke specificaties en hulpmiddelen kan niemand het stelsel correct implementeren.</t>
  </si>
  <si>
    <t>Wat kan beter?</t>
  </si>
  <si>
    <t>Er is een periodiek uitgevoerd risicoanalyseproces dat zowel strategische, tactische als operationele risico's voor het afsprakenstelsel identificeert, analyseert en evalueert</t>
  </si>
  <si>
    <t>Vertrouwen van gebruikers is cruciaal voor het succes van het stelsel. Kaders voor informatiebeveiliging zorgen voor veilige dienstverlening en geven de toezichthouder iets om op te toetsen.</t>
  </si>
  <si>
    <t xml:space="preserve">Wat kan beter? </t>
  </si>
  <si>
    <t>Deelnemer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</si>
</sst>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13]d\ mmmm\ yyyy;@"/>
  </numFmts>
  <fonts count="39">
    <font>
      <sz val="12"/>
      <color theme="1"/>
      <name val="Calibri"/>
      <family val="2"/>
      <scheme val="minor"/>
    </font>
    <font>
      <b/>
      <sz val="12"/>
      <color theme="0"/>
      <name val="Calibri"/>
      <family val="2"/>
      <scheme val="minor"/>
    </font>
    <font>
      <b/>
      <sz val="12"/>
      <color theme="1"/>
      <name val="Calibri"/>
      <family val="2"/>
      <scheme val="minor"/>
    </font>
    <font>
      <b/>
      <sz val="18"/>
      <color theme="0"/>
      <name val="Calibri"/>
      <family val="2"/>
      <scheme val="minor"/>
    </font>
    <font>
      <sz val="8"/>
      <name val="Calibri"/>
      <family val="2"/>
      <scheme val="minor"/>
    </font>
    <font>
      <sz val="18"/>
      <color theme="0"/>
      <name val="Calibri"/>
      <family val="2"/>
      <scheme val="minor"/>
    </font>
    <font>
      <b/>
      <sz val="12"/>
      <color theme="0"/>
      <name val="Calibri (Hoofdtekst)"/>
    </font>
    <font>
      <sz val="10"/>
      <color theme="0"/>
      <name val="Calibri (Hoofdtekst)"/>
    </font>
    <font>
      <sz val="12"/>
      <color rgb="FF52ADF0"/>
      <name val="Calibri"/>
      <family val="2"/>
      <scheme val="minor"/>
    </font>
    <font>
      <sz val="10"/>
      <name val="Arial"/>
      <family val="2"/>
    </font>
    <font>
      <b/>
      <sz val="9"/>
      <name val="Verdana"/>
      <family val="2"/>
    </font>
    <font>
      <sz val="9"/>
      <color theme="1"/>
      <name val="Verdana"/>
      <family val="2"/>
    </font>
    <font>
      <sz val="9"/>
      <name val="Verdana"/>
      <family val="2"/>
    </font>
    <font>
      <i/>
      <sz val="9"/>
      <name val="Verdana"/>
      <family val="2"/>
    </font>
    <font>
      <sz val="11"/>
      <name val="Calibri"/>
      <family val="2"/>
      <scheme val="minor"/>
    </font>
    <font>
      <b/>
      <sz val="11"/>
      <name val="Calibri"/>
      <family val="2"/>
      <scheme val="minor"/>
    </font>
    <font>
      <sz val="12"/>
      <color theme="9" tint="-0.249977111117893"/>
      <name val="Calibri"/>
      <family val="2"/>
      <scheme val="minor"/>
    </font>
    <font>
      <sz val="11"/>
      <color indexed="63"/>
      <name val="Calibri"/>
      <family val="2"/>
      <scheme val="minor"/>
    </font>
    <font>
      <sz val="11"/>
      <color theme="2" tint="-0.89999084444715716"/>
      <name val="Calibri"/>
      <family val="2"/>
      <scheme val="minor"/>
    </font>
    <font>
      <sz val="20"/>
      <color theme="0"/>
      <name val="Calibri"/>
      <family val="2"/>
      <scheme val="minor"/>
    </font>
    <font>
      <sz val="16"/>
      <color theme="0"/>
      <name val="Calibri"/>
      <family val="2"/>
      <scheme val="minor"/>
    </font>
    <font>
      <sz val="11"/>
      <color theme="0"/>
      <name val="Calibri"/>
      <family val="2"/>
      <scheme val="minor"/>
    </font>
    <font>
      <sz val="16"/>
      <name val="Calibri"/>
      <family val="2"/>
      <scheme val="minor"/>
    </font>
    <font>
      <sz val="16"/>
      <color indexed="9"/>
      <name val="Calibri"/>
      <family val="2"/>
      <scheme val="minor"/>
    </font>
    <font>
      <sz val="24"/>
      <color theme="0"/>
      <name val="Calibri"/>
      <family val="2"/>
      <scheme val="minor"/>
    </font>
    <font>
      <sz val="20"/>
      <color indexed="9"/>
      <name val="Calibri"/>
      <family val="2"/>
      <scheme val="minor"/>
    </font>
    <font>
      <b/>
      <sz val="18"/>
      <color theme="1"/>
      <name val="Calibri"/>
      <family val="2"/>
      <scheme val="minor"/>
    </font>
    <font>
      <b/>
      <sz val="11"/>
      <color theme="0"/>
      <name val="Calibri"/>
      <family val="2"/>
      <scheme val="minor"/>
    </font>
    <font>
      <b/>
      <sz val="24"/>
      <color theme="0"/>
      <name val="Calibri"/>
      <family val="2"/>
      <scheme val="minor"/>
    </font>
    <font>
      <b/>
      <i/>
      <sz val="11"/>
      <name val="Calibri"/>
      <family val="2"/>
      <scheme val="minor"/>
    </font>
    <font>
      <sz val="24"/>
      <color rgb="FFFFFFFF"/>
      <name val="Calibri"/>
      <family val="2"/>
      <scheme val="minor"/>
    </font>
    <font>
      <sz val="72"/>
      <color indexed="63"/>
      <name val="Calibri"/>
      <family val="2"/>
      <scheme val="minor"/>
    </font>
    <font>
      <b/>
      <sz val="20"/>
      <color theme="0"/>
      <name val="Calibri"/>
      <family val="2"/>
      <scheme val="minor"/>
    </font>
    <font>
      <b/>
      <sz val="16"/>
      <color theme="1"/>
      <name val="Calibri"/>
      <family val="2"/>
      <scheme val="minor"/>
    </font>
    <font>
      <b/>
      <sz val="16"/>
      <color theme="0"/>
      <name val="Calibri"/>
      <family val="2"/>
      <scheme val="minor"/>
    </font>
    <font>
      <b/>
      <sz val="14"/>
      <color theme="0"/>
      <name val="Calibri"/>
      <family val="2"/>
      <scheme val="minor"/>
    </font>
    <font>
      <sz val="12"/>
      <name val="Calibri"/>
      <family val="2"/>
      <scheme val="minor"/>
    </font>
    <font>
      <b/>
      <sz val="12"/>
      <name val="Calibri"/>
      <family val="2"/>
      <scheme val="minor"/>
    </font>
    <font>
      <b/>
      <sz val="9"/>
      <color indexed="81"/>
      <name val="Tahoma"/>
      <family val="2"/>
    </font>
  </fonts>
  <fills count="25">
    <fill>
      <patternFill patternType="none"/>
    </fill>
    <fill>
      <patternFill patternType="gray125"/>
    </fill>
    <fill>
      <patternFill patternType="solid">
        <fgColor rgb="FFE10068"/>
        <bgColor indexed="64"/>
      </patternFill>
    </fill>
    <fill>
      <patternFill patternType="solid">
        <fgColor rgb="FFF09EB2"/>
        <bgColor indexed="64"/>
      </patternFill>
    </fill>
    <fill>
      <patternFill patternType="solid">
        <fgColor rgb="FFE0A600"/>
        <bgColor indexed="64"/>
      </patternFill>
    </fill>
    <fill>
      <patternFill patternType="solid">
        <fgColor rgb="FFF0D190"/>
        <bgColor indexed="64"/>
      </patternFill>
    </fill>
    <fill>
      <patternFill patternType="solid">
        <fgColor rgb="FFEBCAD8"/>
        <bgColor indexed="64"/>
      </patternFill>
    </fill>
    <fill>
      <patternFill patternType="solid">
        <fgColor rgb="FFDAEDD5"/>
        <bgColor indexed="64"/>
      </patternFill>
    </fill>
    <fill>
      <patternFill patternType="solid">
        <fgColor rgb="FF52ADF0"/>
        <bgColor indexed="64"/>
      </patternFill>
    </fill>
    <fill>
      <patternFill patternType="solid">
        <fgColor rgb="FFC7EAFC"/>
        <bgColor indexed="64"/>
      </patternFill>
    </fill>
    <fill>
      <patternFill patternType="solid">
        <fgColor rgb="FFD478A1"/>
        <bgColor indexed="64"/>
      </patternFill>
    </fill>
    <fill>
      <patternFill patternType="solid">
        <fgColor theme="3"/>
        <bgColor indexed="64"/>
      </patternFill>
    </fill>
    <fill>
      <patternFill patternType="solid">
        <fgColor theme="9"/>
        <bgColor indexed="64"/>
      </patternFill>
    </fill>
    <fill>
      <patternFill patternType="solid">
        <fgColor theme="6" tint="-0.24994659260841701"/>
        <bgColor indexed="64"/>
      </patternFill>
    </fill>
    <fill>
      <patternFill patternType="solid">
        <fgColor theme="0"/>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3" tint="-0.249977111117893"/>
        <bgColor indexed="64"/>
      </patternFill>
    </fill>
    <fill>
      <patternFill patternType="solid">
        <fgColor rgb="FF39870A"/>
        <bgColor indexed="64"/>
      </patternFill>
    </fill>
    <fill>
      <patternFill patternType="solid">
        <fgColor theme="4"/>
        <bgColor indexed="64"/>
      </patternFill>
    </fill>
    <fill>
      <patternFill patternType="solid">
        <fgColor rgb="FF92D050"/>
        <bgColor indexed="64"/>
      </patternFill>
    </fill>
    <fill>
      <patternFill patternType="solid">
        <fgColor rgb="FFE8785E"/>
        <bgColor indexed="64"/>
      </patternFill>
    </fill>
    <fill>
      <patternFill patternType="solid">
        <fgColor theme="5" tint="0.39997558519241921"/>
        <bgColor indexed="64"/>
      </patternFill>
    </fill>
    <fill>
      <patternFill patternType="solid">
        <fgColor rgb="FFCCECFF"/>
        <bgColor indexed="64"/>
      </patternFill>
    </fill>
  </fills>
  <borders count="68">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medium">
        <color indexed="64"/>
      </right>
      <top/>
      <bottom/>
      <diagonal/>
    </border>
    <border>
      <left style="medium">
        <color auto="1"/>
      </left>
      <right style="dotted">
        <color auto="1"/>
      </right>
      <top style="medium">
        <color auto="1"/>
      </top>
      <bottom style="dotted">
        <color auto="1"/>
      </bottom>
      <diagonal/>
    </border>
    <border>
      <left/>
      <right/>
      <top/>
      <bottom style="thin">
        <color theme="0" tint="-0.14999847407452621"/>
      </bottom>
      <diagonal/>
    </border>
    <border>
      <left style="thin">
        <color theme="6" tint="-0.24994659260841701"/>
      </left>
      <right style="thin">
        <color theme="0" tint="-0.14999847407452621"/>
      </right>
      <top style="thin">
        <color theme="6" tint="-0.24994659260841701"/>
      </top>
      <bottom style="thin">
        <color theme="0" tint="-0.14999847407452621"/>
      </bottom>
      <diagonal/>
    </border>
    <border>
      <left style="thin">
        <color theme="0" tint="-0.14999847407452621"/>
      </left>
      <right style="thin">
        <color theme="0" tint="-0.14999847407452621"/>
      </right>
      <top style="thin">
        <color theme="6" tint="-0.24994659260841701"/>
      </top>
      <bottom style="thin">
        <color theme="0" tint="-0.14999847407452621"/>
      </bottom>
      <diagonal/>
    </border>
    <border>
      <left style="thin">
        <color theme="0" tint="-0.14999847407452621"/>
      </left>
      <right style="thin">
        <color theme="6" tint="-0.24994659260841701"/>
      </right>
      <top style="thin">
        <color theme="6" tint="-0.24994659260841701"/>
      </top>
      <bottom style="thin">
        <color theme="0" tint="-0.14999847407452621"/>
      </bottom>
      <diagonal/>
    </border>
    <border>
      <left style="thin">
        <color theme="6" tint="-0.2499465926084170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6" tint="-0.24994659260841701"/>
      </right>
      <top style="thin">
        <color theme="0" tint="-0.14999847407452621"/>
      </top>
      <bottom style="thin">
        <color theme="0" tint="-0.14999847407452621"/>
      </bottom>
      <diagonal/>
    </border>
    <border>
      <left/>
      <right style="thin">
        <color theme="6" tint="-0.24994659260841701"/>
      </right>
      <top style="thin">
        <color theme="0" tint="-0.14999847407452621"/>
      </top>
      <bottom/>
      <diagonal/>
    </border>
    <border>
      <left/>
      <right style="thin">
        <color theme="6" tint="-0.24994659260841701"/>
      </right>
      <top/>
      <bottom/>
      <diagonal/>
    </border>
    <border>
      <left style="thin">
        <color theme="6" tint="-0.24994659260841701"/>
      </left>
      <right style="thin">
        <color theme="0" tint="-0.14999847407452621"/>
      </right>
      <top style="thin">
        <color theme="0" tint="-0.14999847407452621"/>
      </top>
      <bottom style="thin">
        <color theme="6" tint="-0.24994659260841701"/>
      </bottom>
      <diagonal/>
    </border>
    <border>
      <left style="thin">
        <color theme="0" tint="-0.14999847407452621"/>
      </left>
      <right style="thin">
        <color theme="0" tint="-0.14999847407452621"/>
      </right>
      <top style="thin">
        <color theme="0" tint="-0.14999847407452621"/>
      </top>
      <bottom style="thin">
        <color theme="6" tint="-0.24994659260841701"/>
      </bottom>
      <diagonal/>
    </border>
    <border>
      <left/>
      <right style="thin">
        <color theme="6" tint="-0.24994659260841701"/>
      </right>
      <top style="thin">
        <color theme="0" tint="-0.14999847407452621"/>
      </top>
      <bottom style="thin">
        <color rgb="FF00B050"/>
      </bottom>
      <diagonal/>
    </border>
    <border>
      <left/>
      <right style="thin">
        <color theme="6" tint="-0.24994659260841701"/>
      </right>
      <top/>
      <bottom style="thin">
        <color theme="6" tint="-0.24994659260841701"/>
      </bottom>
      <diagonal/>
    </border>
    <border>
      <left style="medium">
        <color auto="1"/>
      </left>
      <right style="dotted">
        <color auto="1"/>
      </right>
      <top style="medium">
        <color auto="1"/>
      </top>
      <bottom/>
      <diagonal/>
    </border>
    <border>
      <left style="dotted">
        <color auto="1"/>
      </left>
      <right style="dotted">
        <color auto="1"/>
      </right>
      <top style="medium">
        <color auto="1"/>
      </top>
      <bottom/>
      <diagonal/>
    </border>
    <border>
      <left/>
      <right style="medium">
        <color indexed="64"/>
      </right>
      <top style="medium">
        <color indexed="64"/>
      </top>
      <bottom/>
      <diagonal/>
    </border>
    <border>
      <left style="thin">
        <color theme="0" tint="-0.14999847407452621"/>
      </left>
      <right style="thin">
        <color theme="6" tint="-0.24994659260841701"/>
      </right>
      <top style="thin">
        <color theme="6" tint="-0.2499465926084170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theme="6" tint="-0.24994659260841701"/>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indexed="64"/>
      </left>
      <right style="thin">
        <color theme="6" tint="-0.24994659260841701"/>
      </right>
      <top style="thin">
        <color indexed="64"/>
      </top>
      <bottom style="thin">
        <color theme="0" tint="-0.14999847407452621"/>
      </bottom>
      <diagonal/>
    </border>
    <border>
      <left style="thin">
        <color theme="0" tint="-0.14999847407452621"/>
      </left>
      <right style="thin">
        <color theme="6" tint="-0.24994659260841701"/>
      </right>
      <top style="thin">
        <color indexed="64"/>
      </top>
      <bottom style="thin">
        <color theme="0" tint="-0.14999847407452621"/>
      </bottom>
      <diagonal/>
    </border>
    <border>
      <left style="thin">
        <color theme="0" tint="-0.14999847407452621"/>
      </left>
      <right style="thin">
        <color indexed="64"/>
      </right>
      <top style="thin">
        <color indexed="64"/>
      </top>
      <bottom style="thin">
        <color theme="0" tint="-0.149998474074526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7B7B7B"/>
      </right>
      <top style="thin">
        <color rgb="FFD9D9D9"/>
      </top>
      <bottom style="thin">
        <color rgb="FF00B050"/>
      </bottom>
      <diagonal/>
    </border>
    <border>
      <left style="thin">
        <color indexed="64"/>
      </left>
      <right/>
      <top style="thin">
        <color indexed="64"/>
      </top>
      <bottom style="thin">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medium">
        <color indexed="64"/>
      </top>
      <bottom style="hair">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style="hair">
        <color indexed="64"/>
      </left>
      <right/>
      <top style="hair">
        <color indexed="64"/>
      </top>
      <bottom/>
      <diagonal/>
    </border>
    <border>
      <left style="thin">
        <color indexed="64"/>
      </left>
      <right style="medium">
        <color indexed="64"/>
      </right>
      <top style="thin">
        <color indexed="64"/>
      </top>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right/>
      <top/>
      <bottom style="double">
        <color indexed="64"/>
      </bottom>
      <diagonal/>
    </border>
  </borders>
  <cellStyleXfs count="5">
    <xf numFmtId="0" fontId="0" fillId="0" borderId="0"/>
    <xf numFmtId="0" fontId="9" fillId="0" borderId="0"/>
    <xf numFmtId="0" fontId="11" fillId="0" borderId="0"/>
    <xf numFmtId="0" fontId="11" fillId="0" borderId="0"/>
    <xf numFmtId="0" fontId="11" fillId="0" borderId="0"/>
  </cellStyleXfs>
  <cellXfs count="267">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wrapText="1"/>
    </xf>
    <xf numFmtId="0" fontId="2" fillId="0" borderId="0" xfId="0" applyFont="1" applyAlignment="1">
      <alignment vertical="top" wrapText="1"/>
    </xf>
    <xf numFmtId="0" fontId="0" fillId="0" borderId="0" xfId="0" applyFont="1" applyAlignment="1">
      <alignment vertical="top" wrapText="1"/>
    </xf>
    <xf numFmtId="0" fontId="2" fillId="0" borderId="1" xfId="0" applyFont="1" applyBorder="1" applyAlignment="1">
      <alignment vertical="top" wrapText="1"/>
    </xf>
    <xf numFmtId="0" fontId="0" fillId="0" borderId="3" xfId="0" applyBorder="1" applyAlignment="1">
      <alignment vertical="top" wrapText="1"/>
    </xf>
    <xf numFmtId="0" fontId="0" fillId="0" borderId="2" xfId="0" applyBorder="1" applyAlignment="1">
      <alignment horizontal="center" vertical="top" wrapText="1"/>
    </xf>
    <xf numFmtId="0" fontId="1" fillId="11" borderId="2" xfId="0" applyFont="1" applyFill="1" applyBorder="1" applyAlignment="1">
      <alignment vertical="top" wrapText="1"/>
    </xf>
    <xf numFmtId="0" fontId="1" fillId="11" borderId="2" xfId="0" applyFont="1" applyFill="1" applyBorder="1" applyAlignment="1">
      <alignment horizontal="center" vertical="top" wrapText="1"/>
    </xf>
    <xf numFmtId="0" fontId="0" fillId="0" borderId="2" xfId="0" applyBorder="1" applyAlignment="1">
      <alignment vertical="top" wrapText="1"/>
    </xf>
    <xf numFmtId="0" fontId="2" fillId="0" borderId="0" xfId="0" applyFont="1" applyBorder="1" applyAlignment="1">
      <alignment vertical="top" wrapText="1"/>
    </xf>
    <xf numFmtId="0" fontId="0" fillId="0" borderId="0" xfId="0" applyBorder="1" applyAlignment="1">
      <alignment vertical="top" wrapText="1"/>
    </xf>
    <xf numFmtId="0" fontId="0" fillId="0" borderId="9" xfId="0" applyBorder="1" applyAlignment="1">
      <alignment vertical="top" wrapText="1"/>
    </xf>
    <xf numFmtId="0" fontId="0" fillId="6" borderId="3" xfId="0" applyFont="1" applyFill="1" applyBorder="1" applyAlignment="1">
      <alignment horizontal="center" vertical="top" wrapText="1"/>
    </xf>
    <xf numFmtId="0" fontId="0" fillId="0" borderId="3" xfId="0" applyFont="1" applyBorder="1" applyAlignment="1">
      <alignment vertical="top" wrapText="1"/>
    </xf>
    <xf numFmtId="0" fontId="3" fillId="10" borderId="4" xfId="0" applyFont="1" applyFill="1" applyBorder="1" applyAlignment="1">
      <alignment vertical="top"/>
    </xf>
    <xf numFmtId="0" fontId="3" fillId="10" borderId="5" xfId="0" applyFont="1" applyFill="1" applyBorder="1" applyAlignment="1">
      <alignment vertical="top" wrapText="1"/>
    </xf>
    <xf numFmtId="0" fontId="0" fillId="0" borderId="0" xfId="0" applyFont="1" applyBorder="1" applyAlignment="1">
      <alignment vertical="top" wrapText="1"/>
    </xf>
    <xf numFmtId="0" fontId="3" fillId="4" borderId="14" xfId="0" applyFont="1" applyFill="1" applyBorder="1" applyAlignment="1">
      <alignment vertical="top"/>
    </xf>
    <xf numFmtId="0" fontId="3" fillId="8" borderId="14" xfId="0" applyFont="1" applyFill="1" applyBorder="1" applyAlignment="1">
      <alignment vertical="top"/>
    </xf>
    <xf numFmtId="0" fontId="3" fillId="8" borderId="15" xfId="0" applyFont="1" applyFill="1" applyBorder="1" applyAlignment="1">
      <alignment vertical="top" wrapText="1"/>
    </xf>
    <xf numFmtId="0" fontId="2" fillId="3" borderId="3" xfId="0" applyFont="1" applyFill="1" applyBorder="1" applyAlignment="1">
      <alignment horizontal="left" wrapText="1"/>
    </xf>
    <xf numFmtId="0" fontId="2" fillId="3" borderId="0" xfId="0" applyFont="1" applyFill="1" applyBorder="1" applyAlignment="1">
      <alignment horizontal="left" vertical="top" wrapText="1"/>
    </xf>
    <xf numFmtId="0" fontId="2" fillId="6" borderId="3" xfId="0" applyFont="1" applyFill="1" applyBorder="1" applyAlignment="1">
      <alignment horizontal="left" vertical="top" wrapText="1"/>
    </xf>
    <xf numFmtId="0" fontId="2" fillId="7" borderId="0" xfId="0" applyFont="1" applyFill="1" applyBorder="1" applyAlignment="1">
      <alignment horizontal="left" vertical="top" wrapText="1"/>
    </xf>
    <xf numFmtId="0" fontId="2" fillId="5" borderId="0" xfId="0" applyFont="1" applyFill="1" applyBorder="1" applyAlignment="1">
      <alignment horizontal="left" vertical="top" wrapText="1"/>
    </xf>
    <xf numFmtId="0" fontId="2" fillId="9" borderId="0" xfId="0" applyFont="1" applyFill="1" applyBorder="1" applyAlignment="1">
      <alignment horizontal="left" vertical="top" wrapText="1"/>
    </xf>
    <xf numFmtId="0" fontId="10" fillId="0" borderId="0" xfId="1" applyFont="1"/>
    <xf numFmtId="0" fontId="10" fillId="0" borderId="0" xfId="2" applyFont="1"/>
    <xf numFmtId="0" fontId="12" fillId="0" borderId="0" xfId="2" applyFont="1"/>
    <xf numFmtId="0" fontId="12" fillId="0" borderId="0" xfId="1" applyFont="1"/>
    <xf numFmtId="0" fontId="13" fillId="0" borderId="0" xfId="1" applyFont="1" applyAlignment="1">
      <alignment vertical="center"/>
    </xf>
    <xf numFmtId="0" fontId="2" fillId="3" borderId="3" xfId="0" applyFont="1" applyFill="1" applyBorder="1" applyAlignment="1">
      <alignment horizontal="left" vertical="top" wrapText="1"/>
    </xf>
    <xf numFmtId="0" fontId="0" fillId="3" borderId="3" xfId="0" applyFont="1" applyFill="1" applyBorder="1" applyAlignment="1">
      <alignment horizontal="center" vertical="top" wrapText="1"/>
    </xf>
    <xf numFmtId="0" fontId="0" fillId="3" borderId="0" xfId="0" applyFont="1" applyFill="1" applyBorder="1" applyAlignment="1">
      <alignment horizontal="center" vertical="top" wrapText="1"/>
    </xf>
    <xf numFmtId="0" fontId="16" fillId="0" borderId="0" xfId="0" applyFont="1" applyAlignment="1">
      <alignment vertical="top" wrapText="1"/>
    </xf>
    <xf numFmtId="0" fontId="17" fillId="0" borderId="0" xfId="1" applyFont="1"/>
    <xf numFmtId="0" fontId="18" fillId="0" borderId="0" xfId="1" applyFont="1" applyAlignment="1">
      <alignment horizontal="right" vertical="center"/>
    </xf>
    <xf numFmtId="0" fontId="19" fillId="13" borderId="22" xfId="1" applyFont="1" applyFill="1" applyBorder="1" applyAlignment="1" applyProtection="1">
      <alignment horizontal="left" vertical="center" indent="1"/>
      <protection locked="0"/>
    </xf>
    <xf numFmtId="0" fontId="20" fillId="13" borderId="23" xfId="1" applyFont="1" applyFill="1" applyBorder="1" applyAlignment="1" applyProtection="1">
      <alignment horizontal="center" vertical="center" wrapText="1" shrinkToFit="1"/>
      <protection locked="0"/>
    </xf>
    <xf numFmtId="0" fontId="21" fillId="13" borderId="23" xfId="1" applyFont="1" applyFill="1" applyBorder="1" applyAlignment="1" applyProtection="1">
      <alignment horizontal="center" vertical="center" wrapText="1" shrinkToFit="1"/>
      <protection locked="0"/>
    </xf>
    <xf numFmtId="0" fontId="22" fillId="0" borderId="25" xfId="1" applyFont="1" applyBorder="1" applyAlignment="1">
      <alignment horizontal="left" vertical="center" indent="1"/>
    </xf>
    <xf numFmtId="164" fontId="23" fillId="14" borderId="26" xfId="1" applyNumberFormat="1" applyFont="1" applyFill="1" applyBorder="1" applyAlignment="1">
      <alignment horizontal="center" vertical="center" wrapText="1"/>
    </xf>
    <xf numFmtId="164" fontId="24" fillId="0" borderId="27" xfId="1" applyNumberFormat="1" applyFont="1" applyBorder="1" applyAlignment="1">
      <alignment horizontal="center" vertical="center" wrapText="1"/>
    </xf>
    <xf numFmtId="164" fontId="21" fillId="11" borderId="27" xfId="1" applyNumberFormat="1" applyFont="1" applyFill="1" applyBorder="1" applyAlignment="1">
      <alignment horizontal="center" vertical="center" wrapText="1"/>
    </xf>
    <xf numFmtId="0" fontId="25" fillId="15" borderId="30" xfId="1" applyFont="1" applyFill="1" applyBorder="1" applyAlignment="1">
      <alignment horizontal="left" vertical="center" indent="1"/>
    </xf>
    <xf numFmtId="164" fontId="20" fillId="15" borderId="31" xfId="1" applyNumberFormat="1" applyFont="1" applyFill="1" applyBorder="1" applyAlignment="1">
      <alignment horizontal="center" vertical="center" wrapText="1"/>
    </xf>
    <xf numFmtId="164" fontId="20" fillId="16" borderId="31" xfId="1" applyNumberFormat="1" applyFont="1" applyFill="1" applyBorder="1" applyAlignment="1">
      <alignment horizontal="center" vertical="center" wrapText="1"/>
    </xf>
    <xf numFmtId="164" fontId="24" fillId="0" borderId="32" xfId="1" applyNumberFormat="1" applyFont="1" applyBorder="1" applyAlignment="1">
      <alignment horizontal="center" vertical="center" wrapText="1"/>
    </xf>
    <xf numFmtId="164" fontId="21" fillId="15" borderId="27" xfId="1" applyNumberFormat="1" applyFont="1" applyFill="1" applyBorder="1" applyAlignment="1">
      <alignment horizontal="center" vertical="center" wrapText="1"/>
    </xf>
    <xf numFmtId="0" fontId="21" fillId="0" borderId="0" xfId="1" applyFont="1"/>
    <xf numFmtId="0" fontId="3" fillId="14" borderId="16" xfId="0" applyFont="1" applyFill="1" applyBorder="1" applyAlignment="1">
      <alignment horizontal="left" vertical="top" wrapText="1"/>
    </xf>
    <xf numFmtId="0" fontId="3" fillId="14" borderId="17" xfId="0" applyFont="1" applyFill="1" applyBorder="1" applyAlignment="1">
      <alignment horizontal="left" vertical="top" wrapText="1"/>
    </xf>
    <xf numFmtId="0" fontId="5" fillId="14" borderId="18" xfId="0" applyFont="1" applyFill="1" applyBorder="1" applyAlignment="1">
      <alignment horizontal="left" vertical="top" wrapText="1"/>
    </xf>
    <xf numFmtId="0" fontId="3" fillId="14" borderId="18" xfId="0" applyFont="1" applyFill="1" applyBorder="1" applyAlignment="1">
      <alignment horizontal="center" vertical="top" wrapText="1"/>
    </xf>
    <xf numFmtId="0" fontId="0" fillId="14" borderId="0" xfId="0" applyFill="1" applyAlignment="1">
      <alignment vertical="top" wrapText="1"/>
    </xf>
    <xf numFmtId="0" fontId="3" fillId="14" borderId="16" xfId="0" applyFont="1" applyFill="1" applyBorder="1" applyAlignment="1">
      <alignment vertical="top"/>
    </xf>
    <xf numFmtId="0" fontId="3" fillId="14" borderId="17" xfId="0" applyFont="1" applyFill="1" applyBorder="1" applyAlignment="1">
      <alignment vertical="top" wrapText="1"/>
    </xf>
    <xf numFmtId="0" fontId="5" fillId="14" borderId="18" xfId="0" applyFont="1" applyFill="1" applyBorder="1" applyAlignment="1">
      <alignment vertical="top" wrapText="1"/>
    </xf>
    <xf numFmtId="0" fontId="19" fillId="13" borderId="37" xfId="1" applyFont="1" applyFill="1" applyBorder="1" applyAlignment="1" applyProtection="1">
      <alignment horizontal="center" vertical="center"/>
      <protection locked="0"/>
    </xf>
    <xf numFmtId="0" fontId="17" fillId="14" borderId="38" xfId="1" applyFont="1" applyFill="1" applyBorder="1"/>
    <xf numFmtId="0" fontId="17" fillId="14" borderId="39" xfId="1" applyFont="1" applyFill="1" applyBorder="1"/>
    <xf numFmtId="0" fontId="17" fillId="0" borderId="40" xfId="1" applyFont="1" applyBorder="1"/>
    <xf numFmtId="0" fontId="15" fillId="0" borderId="34" xfId="3" applyFont="1" applyBorder="1" applyAlignment="1">
      <alignment horizontal="left" vertical="top" wrapText="1"/>
    </xf>
    <xf numFmtId="0" fontId="14" fillId="0" borderId="0" xfId="4" applyFont="1" applyAlignment="1">
      <alignment vertical="top" wrapText="1"/>
    </xf>
    <xf numFmtId="0" fontId="27" fillId="18" borderId="20" xfId="3" applyFont="1" applyFill="1" applyBorder="1" applyAlignment="1">
      <alignment horizontal="left" vertical="top" wrapText="1"/>
    </xf>
    <xf numFmtId="0" fontId="14" fillId="0" borderId="9" xfId="3" applyFont="1" applyBorder="1" applyAlignment="1">
      <alignment horizontal="left" vertical="top" wrapText="1"/>
    </xf>
    <xf numFmtId="0" fontId="14" fillId="0" borderId="0" xfId="3" applyFont="1" applyAlignment="1">
      <alignment horizontal="left" vertical="top" wrapText="1"/>
    </xf>
    <xf numFmtId="0" fontId="15" fillId="0" borderId="0" xfId="4" applyFont="1" applyAlignment="1">
      <alignment horizontal="center" vertical="top" wrapText="1"/>
    </xf>
    <xf numFmtId="0" fontId="14" fillId="0" borderId="0" xfId="4" applyFont="1" applyAlignment="1">
      <alignment horizontal="center" vertical="top" wrapText="1"/>
    </xf>
    <xf numFmtId="0" fontId="14" fillId="0" borderId="42" xfId="4" applyFont="1" applyBorder="1" applyAlignment="1">
      <alignment horizontal="center" vertical="top" wrapText="1"/>
    </xf>
    <xf numFmtId="0" fontId="14" fillId="0" borderId="43" xfId="4" applyFont="1" applyBorder="1" applyAlignment="1">
      <alignment horizontal="center" vertical="top" wrapText="1"/>
    </xf>
    <xf numFmtId="0" fontId="15" fillId="0" borderId="35" xfId="4" applyFont="1" applyBorder="1" applyAlignment="1">
      <alignment horizontal="center" vertical="top" wrapText="1"/>
    </xf>
    <xf numFmtId="0" fontId="14" fillId="0" borderId="36" xfId="4" applyFont="1" applyBorder="1" applyAlignment="1">
      <alignment horizontal="center" vertical="top" wrapText="1"/>
    </xf>
    <xf numFmtId="0" fontId="14" fillId="0" borderId="19" xfId="4" applyFont="1" applyBorder="1" applyAlignment="1">
      <alignment horizontal="center" vertical="top" wrapText="1"/>
    </xf>
    <xf numFmtId="0" fontId="3" fillId="10" borderId="12" xfId="0" applyFont="1" applyFill="1" applyBorder="1" applyAlignment="1">
      <alignment vertical="top" wrapText="1"/>
    </xf>
    <xf numFmtId="0" fontId="3" fillId="14" borderId="18" xfId="0" applyFont="1" applyFill="1" applyBorder="1" applyAlignment="1">
      <alignment vertical="top" wrapText="1"/>
    </xf>
    <xf numFmtId="0" fontId="2" fillId="6" borderId="3" xfId="0" applyFont="1" applyFill="1" applyBorder="1" applyAlignment="1">
      <alignment horizontal="center" vertical="top" wrapText="1"/>
    </xf>
    <xf numFmtId="0" fontId="3" fillId="4" borderId="15" xfId="0" applyFont="1" applyFill="1" applyBorder="1" applyAlignment="1">
      <alignment vertical="top"/>
    </xf>
    <xf numFmtId="0" fontId="22" fillId="0" borderId="44" xfId="1" applyFont="1" applyBorder="1" applyAlignment="1">
      <alignment horizontal="left" vertical="center" indent="1"/>
    </xf>
    <xf numFmtId="164" fontId="23" fillId="14" borderId="45" xfId="1" applyNumberFormat="1" applyFont="1" applyFill="1" applyBorder="1" applyAlignment="1">
      <alignment horizontal="center" vertical="center" wrapText="1"/>
    </xf>
    <xf numFmtId="0" fontId="19" fillId="13" borderId="46" xfId="1" applyFont="1" applyFill="1" applyBorder="1" applyAlignment="1" applyProtection="1">
      <alignment horizontal="center" vertical="center"/>
      <protection locked="0"/>
    </xf>
    <xf numFmtId="0" fontId="19" fillId="13" borderId="47" xfId="1" applyFont="1" applyFill="1" applyBorder="1" applyAlignment="1" applyProtection="1">
      <alignment horizontal="center" vertical="center"/>
      <protection locked="0"/>
    </xf>
    <xf numFmtId="0" fontId="19" fillId="13" borderId="48" xfId="1" applyFont="1" applyFill="1" applyBorder="1" applyAlignment="1" applyProtection="1">
      <alignment horizontal="center" vertical="center"/>
      <protection locked="0"/>
    </xf>
    <xf numFmtId="0" fontId="17" fillId="14" borderId="49" xfId="1" applyFont="1" applyFill="1" applyBorder="1"/>
    <xf numFmtId="0" fontId="17" fillId="14" borderId="0" xfId="1" applyFont="1" applyFill="1" applyBorder="1"/>
    <xf numFmtId="0" fontId="17" fillId="14" borderId="50" xfId="1" applyFont="1" applyFill="1" applyBorder="1"/>
    <xf numFmtId="0" fontId="17" fillId="14" borderId="51" xfId="1" applyFont="1" applyFill="1" applyBorder="1"/>
    <xf numFmtId="0" fontId="17" fillId="14" borderId="52" xfId="1" applyFont="1" applyFill="1" applyBorder="1"/>
    <xf numFmtId="0" fontId="17" fillId="14" borderId="53" xfId="1" applyFont="1" applyFill="1" applyBorder="1"/>
    <xf numFmtId="164" fontId="30" fillId="0" borderId="54" xfId="0" applyNumberFormat="1" applyFont="1" applyBorder="1" applyAlignment="1">
      <alignment horizontal="center" vertical="center" wrapText="1"/>
    </xf>
    <xf numFmtId="0" fontId="28" fillId="19" borderId="0" xfId="1" applyFont="1" applyFill="1" applyAlignment="1">
      <alignment vertical="center"/>
    </xf>
    <xf numFmtId="0" fontId="17" fillId="19" borderId="0" xfId="1" applyFont="1" applyFill="1"/>
    <xf numFmtId="0" fontId="31" fillId="0" borderId="0" xfId="1" applyFont="1"/>
    <xf numFmtId="0" fontId="12" fillId="17" borderId="0" xfId="2" applyFont="1" applyFill="1"/>
    <xf numFmtId="0" fontId="3" fillId="2" borderId="5" xfId="0" applyFont="1" applyFill="1" applyBorder="1" applyAlignment="1">
      <alignment horizontal="left" vertical="top" wrapText="1"/>
    </xf>
    <xf numFmtId="0" fontId="2" fillId="7" borderId="9" xfId="0" applyFont="1" applyFill="1" applyBorder="1" applyAlignment="1">
      <alignment horizontal="center" vertical="top"/>
    </xf>
    <xf numFmtId="0" fontId="2" fillId="7" borderId="0" xfId="0" applyFont="1" applyFill="1" applyBorder="1" applyAlignment="1">
      <alignment horizontal="center" vertical="top"/>
    </xf>
    <xf numFmtId="0" fontId="2" fillId="5" borderId="0" xfId="0" applyFont="1" applyFill="1" applyBorder="1" applyAlignment="1">
      <alignment horizontal="center" vertical="top" wrapText="1"/>
    </xf>
    <xf numFmtId="0" fontId="2" fillId="9" borderId="0" xfId="0" applyFont="1" applyFill="1" applyBorder="1" applyAlignment="1">
      <alignment horizontal="center" vertical="top"/>
    </xf>
    <xf numFmtId="0" fontId="0" fillId="14" borderId="0" xfId="0" applyFill="1"/>
    <xf numFmtId="0" fontId="32" fillId="13" borderId="22" xfId="1" applyFont="1" applyFill="1" applyBorder="1" applyAlignment="1" applyProtection="1">
      <alignment horizontal="left" vertical="center" indent="1"/>
      <protection locked="0"/>
    </xf>
    <xf numFmtId="0" fontId="32" fillId="13" borderId="24" xfId="1" applyFont="1" applyFill="1" applyBorder="1" applyAlignment="1" applyProtection="1">
      <alignment horizontal="center" vertical="center"/>
      <protection locked="0"/>
    </xf>
    <xf numFmtId="0" fontId="32" fillId="13" borderId="47" xfId="1" applyFont="1" applyFill="1" applyBorder="1" applyAlignment="1" applyProtection="1">
      <alignment horizontal="center" vertical="center"/>
      <protection locked="0"/>
    </xf>
    <xf numFmtId="0" fontId="0" fillId="14" borderId="14" xfId="0" applyFill="1" applyBorder="1"/>
    <xf numFmtId="0" fontId="0" fillId="14" borderId="15" xfId="0" applyFill="1" applyBorder="1"/>
    <xf numFmtId="0" fontId="0" fillId="14" borderId="36" xfId="0" applyFill="1" applyBorder="1"/>
    <xf numFmtId="0" fontId="0" fillId="14" borderId="9" xfId="0" applyFill="1" applyBorder="1"/>
    <xf numFmtId="0" fontId="0" fillId="14" borderId="0" xfId="0" applyFill="1" applyBorder="1"/>
    <xf numFmtId="0" fontId="0" fillId="14" borderId="19" xfId="0" applyFill="1" applyBorder="1"/>
    <xf numFmtId="0" fontId="0" fillId="14" borderId="10" xfId="0" applyFill="1" applyBorder="1"/>
    <xf numFmtId="0" fontId="0" fillId="14" borderId="11" xfId="0" applyFill="1" applyBorder="1"/>
    <xf numFmtId="0" fontId="0" fillId="14" borderId="41" xfId="0" applyFill="1" applyBorder="1"/>
    <xf numFmtId="0" fontId="33" fillId="14" borderId="11" xfId="0" applyFont="1" applyFill="1" applyBorder="1"/>
    <xf numFmtId="0" fontId="2" fillId="0" borderId="0" xfId="0" applyFont="1" applyBorder="1" applyAlignment="1">
      <alignment horizontal="left" vertical="top" wrapText="1"/>
    </xf>
    <xf numFmtId="0" fontId="34" fillId="20" borderId="2" xfId="0" applyFont="1" applyFill="1" applyBorder="1" applyAlignment="1">
      <alignment horizontal="left" vertical="top"/>
    </xf>
    <xf numFmtId="0" fontId="0" fillId="0" borderId="3" xfId="0" applyFill="1" applyBorder="1" applyAlignment="1">
      <alignment vertical="top" wrapText="1"/>
    </xf>
    <xf numFmtId="0" fontId="0" fillId="0" borderId="0" xfId="0" applyFill="1" applyBorder="1" applyAlignment="1">
      <alignment vertical="top" wrapText="1"/>
    </xf>
    <xf numFmtId="0" fontId="2" fillId="5" borderId="0" xfId="0" applyFont="1" applyFill="1" applyBorder="1" applyAlignment="1">
      <alignment horizontal="center" vertical="top" wrapText="1"/>
    </xf>
    <xf numFmtId="0" fontId="3" fillId="2" borderId="12" xfId="0" applyFont="1" applyFill="1" applyBorder="1" applyAlignment="1">
      <alignment horizontal="center" vertical="top" wrapText="1"/>
    </xf>
    <xf numFmtId="0" fontId="2" fillId="0" borderId="0" xfId="0" applyFont="1" applyAlignment="1">
      <alignment vertical="top"/>
    </xf>
    <xf numFmtId="0" fontId="0" fillId="0" borderId="1" xfId="0" applyFont="1" applyBorder="1" applyAlignment="1">
      <alignment vertical="top" wrapText="1"/>
    </xf>
    <xf numFmtId="0" fontId="0" fillId="0" borderId="3" xfId="0" applyFont="1" applyBorder="1" applyAlignment="1">
      <alignment horizontal="left" vertical="top" wrapText="1"/>
    </xf>
    <xf numFmtId="0" fontId="36" fillId="0" borderId="0" xfId="0" applyFont="1" applyAlignment="1">
      <alignment vertical="top" wrapText="1"/>
    </xf>
    <xf numFmtId="0" fontId="0" fillId="14" borderId="0" xfId="0" applyFont="1" applyFill="1" applyBorder="1" applyAlignment="1">
      <alignment vertical="top" wrapText="1"/>
    </xf>
    <xf numFmtId="0" fontId="0" fillId="0" borderId="0" xfId="0" applyFont="1" applyFill="1" applyBorder="1" applyAlignment="1">
      <alignment vertical="top" wrapText="1"/>
    </xf>
    <xf numFmtId="0" fontId="37" fillId="0" borderId="0" xfId="0" applyFont="1" applyAlignment="1">
      <alignment vertical="top" wrapText="1"/>
    </xf>
    <xf numFmtId="0" fontId="2" fillId="0" borderId="66" xfId="0" applyFont="1" applyBorder="1" applyAlignment="1">
      <alignment vertical="top" wrapText="1"/>
    </xf>
    <xf numFmtId="0" fontId="0" fillId="0" borderId="63" xfId="0" applyFont="1" applyFill="1" applyBorder="1" applyAlignment="1">
      <alignment vertical="top" wrapText="1"/>
    </xf>
    <xf numFmtId="0" fontId="0" fillId="0" borderId="63" xfId="0" applyFont="1" applyBorder="1" applyAlignment="1">
      <alignment vertical="top" wrapText="1"/>
    </xf>
    <xf numFmtId="0" fontId="2" fillId="14" borderId="1" xfId="0" applyFont="1" applyFill="1" applyBorder="1" applyAlignment="1">
      <alignment vertical="top" wrapText="1"/>
    </xf>
    <xf numFmtId="0" fontId="0" fillId="3" borderId="7" xfId="0" applyFill="1" applyBorder="1" applyAlignment="1">
      <alignment vertical="top" wrapText="1"/>
    </xf>
    <xf numFmtId="0" fontId="0" fillId="3" borderId="7" xfId="0" applyFont="1" applyFill="1" applyBorder="1" applyAlignment="1">
      <alignment vertical="top" wrapText="1"/>
    </xf>
    <xf numFmtId="0" fontId="0" fillId="3" borderId="9" xfId="0" applyFont="1" applyFill="1" applyBorder="1" applyAlignment="1">
      <alignment vertical="top" wrapText="1"/>
    </xf>
    <xf numFmtId="0" fontId="0" fillId="3" borderId="9" xfId="0" applyFill="1" applyBorder="1" applyAlignment="1">
      <alignment vertical="top" wrapText="1"/>
    </xf>
    <xf numFmtId="0" fontId="0" fillId="3" borderId="0" xfId="0" applyFill="1" applyBorder="1" applyAlignment="1">
      <alignment vertical="top" wrapText="1"/>
    </xf>
    <xf numFmtId="0" fontId="0" fillId="3" borderId="0" xfId="0" applyFill="1" applyAlignment="1">
      <alignment vertical="top" wrapText="1"/>
    </xf>
    <xf numFmtId="0" fontId="3" fillId="22" borderId="14" xfId="0" applyFont="1" applyFill="1" applyBorder="1" applyAlignment="1">
      <alignment vertical="top"/>
    </xf>
    <xf numFmtId="0" fontId="3" fillId="22" borderId="15" xfId="0" applyFont="1" applyFill="1" applyBorder="1" applyAlignment="1">
      <alignment vertical="top" wrapText="1"/>
    </xf>
    <xf numFmtId="0" fontId="2" fillId="23" borderId="0" xfId="0" applyFont="1" applyFill="1" applyBorder="1" applyAlignment="1">
      <alignment horizontal="center" vertical="top"/>
    </xf>
    <xf numFmtId="0" fontId="2" fillId="23" borderId="0" xfId="0" applyFont="1" applyFill="1" applyBorder="1" applyAlignment="1">
      <alignment horizontal="left" vertical="top" wrapText="1"/>
    </xf>
    <xf numFmtId="0" fontId="0" fillId="23" borderId="0" xfId="0" applyFill="1" applyBorder="1" applyAlignment="1">
      <alignment vertical="top"/>
    </xf>
    <xf numFmtId="0" fontId="0" fillId="23" borderId="9" xfId="0" applyFill="1" applyBorder="1" applyAlignment="1">
      <alignment vertical="top"/>
    </xf>
    <xf numFmtId="0" fontId="2" fillId="23" borderId="3" xfId="0" applyFont="1" applyFill="1" applyBorder="1" applyAlignment="1">
      <alignment horizontal="center" vertical="top"/>
    </xf>
    <xf numFmtId="0" fontId="2" fillId="23" borderId="3" xfId="0" applyFont="1" applyFill="1" applyBorder="1" applyAlignment="1">
      <alignment horizontal="left" vertical="top" wrapText="1"/>
    </xf>
    <xf numFmtId="0" fontId="0" fillId="23" borderId="7" xfId="0" applyFont="1" applyFill="1" applyBorder="1" applyAlignment="1">
      <alignment horizontal="left" vertical="top"/>
    </xf>
    <xf numFmtId="0" fontId="0" fillId="23" borderId="65" xfId="0" applyFill="1" applyBorder="1" applyAlignment="1">
      <alignment vertical="top"/>
    </xf>
    <xf numFmtId="0" fontId="2" fillId="0" borderId="67" xfId="0" applyFont="1" applyBorder="1" applyAlignment="1">
      <alignment vertical="top" wrapText="1"/>
    </xf>
    <xf numFmtId="0" fontId="0" fillId="0" borderId="67" xfId="0" applyFont="1" applyBorder="1" applyAlignment="1">
      <alignment vertical="top" wrapText="1"/>
    </xf>
    <xf numFmtId="0" fontId="0" fillId="0" borderId="67" xfId="0" applyBorder="1" applyAlignment="1">
      <alignment vertical="top" wrapText="1"/>
    </xf>
    <xf numFmtId="0" fontId="3" fillId="2" borderId="0" xfId="0" applyFont="1" applyFill="1" applyBorder="1" applyAlignment="1" applyProtection="1">
      <alignment horizontal="center" vertical="top" wrapText="1"/>
      <protection locked="0"/>
    </xf>
    <xf numFmtId="0" fontId="1" fillId="2" borderId="36" xfId="0" applyFont="1" applyFill="1" applyBorder="1" applyAlignment="1" applyProtection="1">
      <alignment horizontal="center" vertical="top" wrapText="1"/>
      <protection locked="0"/>
    </xf>
    <xf numFmtId="0" fontId="3" fillId="2" borderId="57" xfId="0" applyFont="1" applyFill="1" applyBorder="1" applyAlignment="1" applyProtection="1">
      <alignment horizontal="center" vertical="top" wrapText="1"/>
      <protection locked="0"/>
    </xf>
    <xf numFmtId="0" fontId="26" fillId="0" borderId="60" xfId="0" applyFont="1" applyFill="1" applyBorder="1" applyAlignment="1" applyProtection="1">
      <alignment horizontal="center" vertical="top" wrapText="1"/>
      <protection locked="0"/>
    </xf>
    <xf numFmtId="0" fontId="1" fillId="14" borderId="0" xfId="0" applyFont="1" applyFill="1" applyBorder="1" applyAlignment="1" applyProtection="1">
      <alignment horizontal="center" vertical="top" wrapText="1"/>
      <protection locked="0"/>
    </xf>
    <xf numFmtId="0" fontId="3" fillId="14" borderId="56" xfId="0" applyFont="1" applyFill="1" applyBorder="1" applyAlignment="1" applyProtection="1">
      <alignment horizontal="center" vertical="top" wrapText="1"/>
      <protection locked="0"/>
    </xf>
    <xf numFmtId="0" fontId="26" fillId="21" borderId="61" xfId="0" applyFont="1" applyFill="1" applyBorder="1" applyAlignment="1" applyProtection="1">
      <alignment horizontal="center" vertical="top" wrapText="1"/>
      <protection locked="0"/>
    </xf>
    <xf numFmtId="0" fontId="0" fillId="3" borderId="58" xfId="0" applyFont="1" applyFill="1" applyBorder="1" applyAlignment="1" applyProtection="1">
      <alignment horizontal="center" vertical="top" wrapText="1"/>
      <protection locked="0"/>
    </xf>
    <xf numFmtId="0" fontId="0" fillId="3" borderId="56" xfId="0" applyFont="1" applyFill="1" applyBorder="1" applyAlignment="1" applyProtection="1">
      <alignment horizontal="center" vertical="top" wrapText="1"/>
      <protection locked="0"/>
    </xf>
    <xf numFmtId="0" fontId="14" fillId="0" borderId="61" xfId="3" applyFont="1" applyFill="1" applyBorder="1" applyAlignment="1" applyProtection="1">
      <alignment vertical="top" wrapText="1"/>
      <protection locked="0"/>
    </xf>
    <xf numFmtId="0" fontId="0" fillId="0" borderId="58" xfId="0" applyBorder="1" applyAlignment="1" applyProtection="1">
      <alignment horizontal="center" vertical="top" wrapText="1"/>
      <protection locked="0"/>
    </xf>
    <xf numFmtId="0" fontId="0" fillId="0" borderId="3" xfId="0" applyFill="1" applyBorder="1" applyAlignment="1" applyProtection="1">
      <alignment vertical="top" wrapText="1"/>
      <protection locked="0"/>
    </xf>
    <xf numFmtId="0" fontId="0" fillId="0" borderId="61" xfId="0" applyFill="1" applyBorder="1" applyAlignment="1" applyProtection="1">
      <alignment vertical="top" wrapText="1"/>
      <protection locked="0"/>
    </xf>
    <xf numFmtId="0" fontId="0" fillId="0" borderId="3" xfId="0" applyFont="1" applyFill="1" applyBorder="1" applyAlignment="1" applyProtection="1">
      <alignment vertical="top" wrapText="1"/>
      <protection locked="0"/>
    </xf>
    <xf numFmtId="0" fontId="16" fillId="0" borderId="61" xfId="0" applyFont="1" applyFill="1" applyBorder="1" applyAlignment="1" applyProtection="1">
      <alignment vertical="top" wrapText="1"/>
      <protection locked="0"/>
    </xf>
    <xf numFmtId="0" fontId="16" fillId="0" borderId="58" xfId="0" applyFont="1" applyBorder="1" applyAlignment="1" applyProtection="1">
      <alignment horizontal="center" vertical="top" wrapText="1"/>
      <protection locked="0"/>
    </xf>
    <xf numFmtId="0" fontId="0" fillId="3" borderId="3" xfId="0" applyFill="1" applyBorder="1" applyAlignment="1" applyProtection="1">
      <alignment vertical="top" wrapText="1"/>
      <protection locked="0"/>
    </xf>
    <xf numFmtId="0" fontId="8" fillId="0" borderId="61" xfId="0" applyFont="1" applyFill="1" applyBorder="1" applyAlignment="1" applyProtection="1">
      <alignment vertical="top" wrapText="1"/>
      <protection locked="0"/>
    </xf>
    <xf numFmtId="0" fontId="0" fillId="0" borderId="0" xfId="0" applyBorder="1" applyAlignment="1" applyProtection="1">
      <alignment horizontal="center" vertical="top" wrapText="1"/>
      <protection locked="0"/>
    </xf>
    <xf numFmtId="0" fontId="26" fillId="21" borderId="2" xfId="0" applyFont="1" applyFill="1" applyBorder="1" applyAlignment="1" applyProtection="1">
      <alignment horizontal="center" vertical="center" wrapText="1"/>
      <protection locked="0"/>
    </xf>
    <xf numFmtId="0" fontId="0" fillId="0" borderId="38" xfId="0" applyFill="1" applyBorder="1" applyAlignment="1" applyProtection="1">
      <alignment vertical="top" wrapText="1"/>
      <protection locked="0"/>
    </xf>
    <xf numFmtId="0" fontId="0" fillId="0" borderId="62" xfId="0" applyBorder="1" applyAlignment="1" applyProtection="1">
      <alignment horizontal="center" vertical="top" wrapText="1"/>
      <protection locked="0"/>
    </xf>
    <xf numFmtId="0" fontId="0" fillId="0" borderId="63" xfId="0" applyBorder="1" applyAlignment="1" applyProtection="1">
      <alignment vertical="top" wrapText="1"/>
      <protection locked="0"/>
    </xf>
    <xf numFmtId="0" fontId="8" fillId="0" borderId="39" xfId="0" applyFont="1" applyFill="1" applyBorder="1" applyAlignment="1" applyProtection="1">
      <alignment vertical="top" wrapText="1"/>
      <protection locked="0"/>
    </xf>
    <xf numFmtId="0" fontId="0" fillId="0" borderId="0" xfId="0" applyFont="1" applyFill="1" applyBorder="1" applyAlignment="1" applyProtection="1">
      <alignment vertical="top" wrapText="1"/>
      <protection locked="0"/>
    </xf>
    <xf numFmtId="0" fontId="0" fillId="0" borderId="39" xfId="0" applyFill="1" applyBorder="1" applyAlignment="1" applyProtection="1">
      <alignment vertical="top" wrapText="1"/>
      <protection locked="0"/>
    </xf>
    <xf numFmtId="0" fontId="0" fillId="0" borderId="0" xfId="0" applyAlignment="1" applyProtection="1">
      <alignment horizontal="center" vertical="top" wrapText="1"/>
      <protection locked="0"/>
    </xf>
    <xf numFmtId="0" fontId="0" fillId="0" borderId="0" xfId="0" applyAlignment="1" applyProtection="1">
      <alignment vertical="top" wrapText="1"/>
      <protection locked="0"/>
    </xf>
    <xf numFmtId="0" fontId="0" fillId="0" borderId="0" xfId="0" applyFill="1" applyBorder="1" applyAlignment="1" applyProtection="1">
      <alignment vertical="top" wrapText="1"/>
      <protection locked="0"/>
    </xf>
    <xf numFmtId="0" fontId="3" fillId="10" borderId="15" xfId="0" applyFont="1" applyFill="1" applyBorder="1" applyAlignment="1" applyProtection="1">
      <alignment horizontal="center" vertical="top" wrapText="1"/>
      <protection locked="0"/>
    </xf>
    <xf numFmtId="0" fontId="6" fillId="10" borderId="13" xfId="0" applyFont="1" applyFill="1" applyBorder="1" applyAlignment="1" applyProtection="1">
      <alignment horizontal="center" vertical="top" wrapText="1"/>
      <protection locked="0"/>
    </xf>
    <xf numFmtId="0" fontId="3" fillId="10" borderId="36" xfId="0" applyFont="1" applyFill="1" applyBorder="1" applyAlignment="1" applyProtection="1">
      <alignment horizontal="center" vertical="top" wrapText="1"/>
      <protection locked="0"/>
    </xf>
    <xf numFmtId="0" fontId="26" fillId="6" borderId="0" xfId="0" applyFont="1" applyFill="1" applyBorder="1" applyAlignment="1" applyProtection="1">
      <alignment horizontal="center" vertical="top" wrapText="1"/>
      <protection locked="0"/>
    </xf>
    <xf numFmtId="0" fontId="6" fillId="14" borderId="51" xfId="0" applyFont="1" applyFill="1" applyBorder="1" applyAlignment="1" applyProtection="1">
      <alignment horizontal="center" vertical="top" wrapText="1"/>
      <protection locked="0"/>
    </xf>
    <xf numFmtId="0" fontId="0" fillId="14" borderId="56" xfId="0" applyFill="1" applyBorder="1" applyAlignment="1" applyProtection="1">
      <alignment vertical="top" wrapText="1"/>
      <protection locked="0"/>
    </xf>
    <xf numFmtId="0" fontId="26" fillId="21" borderId="0" xfId="0" applyFont="1" applyFill="1" applyBorder="1" applyAlignment="1" applyProtection="1">
      <alignment horizontal="center" vertical="top" wrapText="1"/>
      <protection locked="0"/>
    </xf>
    <xf numFmtId="0" fontId="2" fillId="6" borderId="55" xfId="0" applyFont="1" applyFill="1" applyBorder="1" applyAlignment="1" applyProtection="1">
      <alignment horizontal="center" vertical="top" wrapText="1"/>
      <protection locked="0"/>
    </xf>
    <xf numFmtId="0" fontId="0" fillId="6" borderId="56" xfId="0" applyFill="1" applyBorder="1" applyAlignment="1" applyProtection="1">
      <alignment vertical="top" wrapText="1"/>
      <protection locked="0"/>
    </xf>
    <xf numFmtId="0" fontId="0" fillId="0" borderId="0" xfId="0" applyFont="1" applyBorder="1" applyAlignment="1" applyProtection="1">
      <alignment horizontal="center" vertical="top" wrapText="1"/>
      <protection locked="0"/>
    </xf>
    <xf numFmtId="0" fontId="0" fillId="0" borderId="55" xfId="0" applyBorder="1" applyAlignment="1" applyProtection="1">
      <alignment horizontal="center" vertical="top" wrapText="1"/>
      <protection locked="0"/>
    </xf>
    <xf numFmtId="0" fontId="0" fillId="0" borderId="3" xfId="0" applyBorder="1" applyAlignment="1" applyProtection="1">
      <alignment vertical="top" wrapText="1"/>
      <protection locked="0"/>
    </xf>
    <xf numFmtId="0" fontId="0" fillId="6" borderId="3" xfId="0" applyFill="1" applyBorder="1" applyAlignment="1" applyProtection="1">
      <alignment vertical="top" wrapText="1"/>
      <protection locked="0"/>
    </xf>
    <xf numFmtId="0" fontId="8" fillId="0" borderId="0" xfId="0" applyFont="1" applyBorder="1" applyAlignment="1" applyProtection="1">
      <alignment horizontal="center" vertical="top" wrapText="1"/>
      <protection locked="0"/>
    </xf>
    <xf numFmtId="0" fontId="2" fillId="12" borderId="55" xfId="0" applyFont="1" applyFill="1" applyBorder="1" applyAlignment="1" applyProtection="1">
      <alignment horizontal="center" vertical="top" wrapText="1"/>
      <protection locked="0"/>
    </xf>
    <xf numFmtId="0" fontId="0" fillId="0" borderId="0" xfId="0" applyFont="1" applyAlignment="1" applyProtection="1">
      <alignment horizontal="center" vertical="top" wrapText="1"/>
      <protection locked="0"/>
    </xf>
    <xf numFmtId="0" fontId="0" fillId="0" borderId="0" xfId="0" applyFont="1" applyAlignment="1" applyProtection="1">
      <alignment vertical="top" wrapText="1"/>
      <protection locked="0"/>
    </xf>
    <xf numFmtId="0" fontId="3" fillId="22" borderId="15" xfId="0" applyFont="1" applyFill="1" applyBorder="1" applyAlignment="1" applyProtection="1">
      <alignment horizontal="center" vertical="top" wrapText="1"/>
      <protection locked="0"/>
    </xf>
    <xf numFmtId="0" fontId="6" fillId="22" borderId="13" xfId="0" applyFont="1" applyFill="1" applyBorder="1" applyAlignment="1" applyProtection="1">
      <alignment horizontal="center" vertical="top" wrapText="1"/>
      <protection locked="0"/>
    </xf>
    <xf numFmtId="0" fontId="3" fillId="22" borderId="36" xfId="0" applyFont="1" applyFill="1" applyBorder="1" applyAlignment="1" applyProtection="1">
      <alignment horizontal="center" vertical="top" wrapText="1"/>
      <protection locked="0"/>
    </xf>
    <xf numFmtId="0" fontId="26" fillId="7" borderId="0" xfId="0" applyFont="1" applyFill="1" applyBorder="1" applyAlignment="1" applyProtection="1">
      <alignment horizontal="center" vertical="top" wrapText="1"/>
      <protection locked="0"/>
    </xf>
    <xf numFmtId="0" fontId="2" fillId="7" borderId="8" xfId="0" applyFont="1" applyFill="1" applyBorder="1" applyAlignment="1" applyProtection="1">
      <alignment horizontal="center" vertical="top"/>
      <protection locked="0"/>
    </xf>
    <xf numFmtId="0" fontId="0" fillId="0" borderId="19" xfId="0" applyBorder="1" applyAlignment="1" applyProtection="1">
      <alignment vertical="top" wrapText="1"/>
      <protection locked="0"/>
    </xf>
    <xf numFmtId="0" fontId="2" fillId="23" borderId="8" xfId="0" applyFont="1" applyFill="1" applyBorder="1" applyAlignment="1" applyProtection="1">
      <alignment horizontal="center" vertical="top"/>
      <protection locked="0"/>
    </xf>
    <xf numFmtId="0" fontId="0" fillId="23" borderId="0" xfId="0" applyFill="1" applyBorder="1" applyAlignment="1" applyProtection="1">
      <alignment vertical="top"/>
      <protection locked="0"/>
    </xf>
    <xf numFmtId="0" fontId="0" fillId="0" borderId="8" xfId="0" applyBorder="1" applyAlignment="1" applyProtection="1">
      <alignment horizontal="center" vertical="top"/>
      <protection locked="0"/>
    </xf>
    <xf numFmtId="0" fontId="0" fillId="0" borderId="0" xfId="0" applyFill="1" applyBorder="1" applyAlignment="1" applyProtection="1">
      <alignment vertical="top"/>
      <protection locked="0"/>
    </xf>
    <xf numFmtId="0" fontId="0" fillId="0" borderId="64" xfId="0" applyBorder="1" applyAlignment="1" applyProtection="1">
      <alignment horizontal="center" vertical="top"/>
      <protection locked="0"/>
    </xf>
    <xf numFmtId="0" fontId="0" fillId="0" borderId="0" xfId="0" applyBorder="1" applyAlignment="1" applyProtection="1">
      <alignment horizontal="center" vertical="top"/>
      <protection locked="0"/>
    </xf>
    <xf numFmtId="0" fontId="0" fillId="0" borderId="0" xfId="0" applyAlignment="1" applyProtection="1">
      <alignment horizontal="center" vertical="top"/>
      <protection locked="0"/>
    </xf>
    <xf numFmtId="0" fontId="0" fillId="0" borderId="0" xfId="0" applyFill="1" applyAlignment="1" applyProtection="1">
      <alignment vertical="top"/>
      <protection locked="0"/>
    </xf>
    <xf numFmtId="0" fontId="0" fillId="0" borderId="0" xfId="0" applyAlignment="1" applyProtection="1">
      <alignment vertical="top"/>
      <protection locked="0"/>
    </xf>
    <xf numFmtId="0" fontId="3" fillId="4" borderId="15" xfId="0" applyFont="1" applyFill="1" applyBorder="1" applyAlignment="1" applyProtection="1">
      <alignment horizontal="center" vertical="top"/>
      <protection locked="0"/>
    </xf>
    <xf numFmtId="0" fontId="6" fillId="4" borderId="13" xfId="0" applyFont="1" applyFill="1" applyBorder="1" applyAlignment="1" applyProtection="1">
      <alignment horizontal="center" vertical="top"/>
      <protection locked="0"/>
    </xf>
    <xf numFmtId="0" fontId="3" fillId="4" borderId="36" xfId="0" applyFont="1" applyFill="1" applyBorder="1" applyAlignment="1" applyProtection="1">
      <alignment horizontal="center" vertical="top"/>
      <protection locked="0"/>
    </xf>
    <xf numFmtId="0" fontId="1" fillId="4" borderId="15" xfId="0" applyFont="1" applyFill="1" applyBorder="1" applyAlignment="1" applyProtection="1">
      <alignment horizontal="center" vertical="top"/>
      <protection locked="0"/>
    </xf>
    <xf numFmtId="0" fontId="0" fillId="0" borderId="8" xfId="0" applyBorder="1" applyAlignment="1" applyProtection="1">
      <alignment horizontal="center" vertical="top" wrapText="1"/>
      <protection locked="0"/>
    </xf>
    <xf numFmtId="0" fontId="0" fillId="0" borderId="2" xfId="0" applyBorder="1" applyAlignment="1" applyProtection="1">
      <alignment vertical="top" wrapText="1"/>
      <protection locked="0"/>
    </xf>
    <xf numFmtId="0" fontId="33" fillId="21" borderId="0" xfId="0" applyFont="1" applyFill="1" applyBorder="1" applyAlignment="1" applyProtection="1">
      <alignment horizontal="center" vertical="top" wrapText="1"/>
      <protection locked="0"/>
    </xf>
    <xf numFmtId="0" fontId="2" fillId="5" borderId="8" xfId="0" applyFont="1" applyFill="1" applyBorder="1" applyAlignment="1" applyProtection="1">
      <alignment horizontal="center" vertical="top" wrapText="1"/>
      <protection locked="0"/>
    </xf>
    <xf numFmtId="0" fontId="0" fillId="5" borderId="0" xfId="0" applyFill="1"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0" xfId="0" applyFont="1" applyBorder="1" applyAlignment="1" applyProtection="1">
      <alignment vertical="top" wrapText="1"/>
      <protection locked="0"/>
    </xf>
    <xf numFmtId="0" fontId="3" fillId="8" borderId="15" xfId="0" applyFont="1" applyFill="1" applyBorder="1" applyAlignment="1" applyProtection="1">
      <alignment horizontal="center" vertical="top" wrapText="1"/>
      <protection locked="0"/>
    </xf>
    <xf numFmtId="0" fontId="6" fillId="8" borderId="13" xfId="0" applyFont="1" applyFill="1" applyBorder="1" applyAlignment="1" applyProtection="1">
      <alignment horizontal="center" vertical="top" wrapText="1"/>
      <protection locked="0"/>
    </xf>
    <xf numFmtId="0" fontId="35" fillId="8" borderId="6" xfId="0" applyFont="1" applyFill="1" applyBorder="1" applyAlignment="1" applyProtection="1">
      <alignment horizontal="center" vertical="top"/>
      <protection locked="0"/>
    </xf>
    <xf numFmtId="0" fontId="2" fillId="21" borderId="0" xfId="0" applyFont="1" applyFill="1" applyBorder="1" applyAlignment="1" applyProtection="1">
      <alignment horizontal="center" vertical="top" wrapText="1"/>
      <protection locked="0"/>
    </xf>
    <xf numFmtId="0" fontId="2" fillId="9" borderId="8" xfId="0" applyFont="1" applyFill="1" applyBorder="1" applyAlignment="1" applyProtection="1">
      <alignment horizontal="center" vertical="top"/>
      <protection locked="0"/>
    </xf>
    <xf numFmtId="0" fontId="0" fillId="0" borderId="2" xfId="0" applyBorder="1" applyAlignment="1" applyProtection="1">
      <alignment vertical="top"/>
      <protection locked="0"/>
    </xf>
    <xf numFmtId="0" fontId="2" fillId="9" borderId="64" xfId="0" applyFont="1" applyFill="1" applyBorder="1" applyAlignment="1" applyProtection="1">
      <alignment horizontal="center" vertical="top"/>
      <protection locked="0"/>
    </xf>
    <xf numFmtId="0" fontId="0" fillId="0" borderId="67" xfId="0" applyBorder="1" applyAlignment="1" applyProtection="1">
      <alignment horizontal="center" vertical="top" wrapText="1"/>
      <protection locked="0"/>
    </xf>
    <xf numFmtId="0" fontId="0" fillId="0" borderId="3" xfId="0" applyBorder="1" applyAlignment="1">
      <alignment horizontal="left" vertical="top" wrapText="1"/>
    </xf>
    <xf numFmtId="0" fontId="0" fillId="6" borderId="7" xfId="0" applyFont="1" applyFill="1" applyBorder="1" applyAlignment="1">
      <alignment horizontal="center" vertical="top" wrapText="1"/>
    </xf>
    <xf numFmtId="0" fontId="0" fillId="6" borderId="7" xfId="0" applyFill="1" applyBorder="1" applyAlignment="1">
      <alignment vertical="top" wrapText="1"/>
    </xf>
    <xf numFmtId="0" fontId="0" fillId="6" borderId="0" xfId="0" applyFont="1" applyFill="1" applyAlignment="1">
      <alignment vertical="top" wrapText="1"/>
    </xf>
    <xf numFmtId="0" fontId="0" fillId="5" borderId="9" xfId="0" applyFill="1" applyBorder="1" applyAlignment="1">
      <alignment vertical="top" wrapText="1"/>
    </xf>
    <xf numFmtId="0" fontId="0" fillId="24" borderId="0" xfId="0" applyFill="1" applyBorder="1" applyAlignment="1">
      <alignment vertical="top"/>
    </xf>
    <xf numFmtId="0" fontId="0" fillId="24" borderId="9" xfId="0" applyFill="1" applyBorder="1" applyAlignment="1">
      <alignment vertical="top"/>
    </xf>
    <xf numFmtId="0" fontId="34" fillId="20" borderId="55" xfId="0" applyFont="1" applyFill="1" applyBorder="1" applyAlignment="1">
      <alignment vertical="top"/>
    </xf>
    <xf numFmtId="0" fontId="34" fillId="20" borderId="58" xfId="0" applyFont="1" applyFill="1" applyBorder="1" applyAlignment="1">
      <alignment vertical="top"/>
    </xf>
    <xf numFmtId="0" fontId="34" fillId="20" borderId="59" xfId="0" applyFont="1" applyFill="1" applyBorder="1" applyAlignment="1">
      <alignment vertical="top"/>
    </xf>
    <xf numFmtId="165" fontId="34" fillId="20" borderId="55" xfId="0" applyNumberFormat="1" applyFont="1" applyFill="1" applyBorder="1" applyAlignment="1">
      <alignment horizontal="left" vertical="top"/>
    </xf>
    <xf numFmtId="165" fontId="34" fillId="20" borderId="58" xfId="0" applyNumberFormat="1" applyFont="1" applyFill="1" applyBorder="1" applyAlignment="1">
      <alignment horizontal="left" vertical="top"/>
    </xf>
    <xf numFmtId="165" fontId="34" fillId="20" borderId="59" xfId="0" applyNumberFormat="1" applyFont="1" applyFill="1" applyBorder="1" applyAlignment="1">
      <alignment horizontal="left" vertical="top"/>
    </xf>
    <xf numFmtId="0" fontId="2" fillId="3" borderId="9" xfId="0" applyFont="1" applyFill="1" applyBorder="1" applyAlignment="1">
      <alignment horizontal="center" vertical="top" wrapText="1"/>
    </xf>
    <xf numFmtId="0" fontId="2" fillId="3" borderId="0" xfId="0" applyFont="1" applyFill="1" applyBorder="1" applyAlignment="1">
      <alignment horizontal="center" vertical="top" wrapText="1"/>
    </xf>
    <xf numFmtId="0" fontId="2" fillId="3" borderId="7"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2" borderId="4" xfId="0" applyFont="1" applyFill="1" applyBorder="1" applyAlignment="1">
      <alignment horizontal="left" vertical="top" wrapText="1"/>
    </xf>
    <xf numFmtId="0" fontId="3" fillId="2" borderId="5" xfId="0" applyFont="1" applyFill="1" applyBorder="1" applyAlignment="1">
      <alignment horizontal="left" vertical="top" wrapText="1"/>
    </xf>
    <xf numFmtId="0" fontId="2" fillId="6" borderId="7"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7" borderId="9" xfId="0" applyFont="1" applyFill="1" applyBorder="1" applyAlignment="1">
      <alignment horizontal="center" vertical="top"/>
    </xf>
    <xf numFmtId="0" fontId="2" fillId="7" borderId="0" xfId="0" applyFont="1" applyFill="1" applyBorder="1" applyAlignment="1">
      <alignment horizontal="center" vertical="top"/>
    </xf>
    <xf numFmtId="0" fontId="2" fillId="23" borderId="9" xfId="0" applyFont="1" applyFill="1" applyBorder="1" applyAlignment="1">
      <alignment horizontal="center" vertical="top"/>
    </xf>
    <xf numFmtId="0" fontId="2" fillId="23" borderId="0" xfId="0" applyFont="1" applyFill="1" applyBorder="1" applyAlignment="1">
      <alignment horizontal="center" vertical="top"/>
    </xf>
    <xf numFmtId="0" fontId="2" fillId="23" borderId="7" xfId="0" applyFont="1" applyFill="1" applyBorder="1" applyAlignment="1">
      <alignment horizontal="center" vertical="top"/>
    </xf>
    <xf numFmtId="0" fontId="2" fillId="23" borderId="1" xfId="0" applyFont="1" applyFill="1" applyBorder="1" applyAlignment="1">
      <alignment horizontal="center" vertical="top"/>
    </xf>
    <xf numFmtId="0" fontId="2" fillId="5" borderId="9" xfId="0" applyFont="1" applyFill="1" applyBorder="1" applyAlignment="1">
      <alignment horizontal="center" vertical="top" wrapText="1"/>
    </xf>
    <xf numFmtId="0" fontId="2" fillId="5" borderId="0" xfId="0" applyFont="1" applyFill="1" applyBorder="1" applyAlignment="1">
      <alignment horizontal="center" vertical="top" wrapText="1"/>
    </xf>
    <xf numFmtId="0" fontId="2" fillId="9" borderId="9" xfId="0" applyFont="1" applyFill="1" applyBorder="1" applyAlignment="1">
      <alignment horizontal="center" vertical="top"/>
    </xf>
    <xf numFmtId="0" fontId="2" fillId="9" borderId="0" xfId="0" applyFont="1" applyFill="1" applyBorder="1" applyAlignment="1">
      <alignment horizontal="center" vertical="top"/>
    </xf>
    <xf numFmtId="0" fontId="18" fillId="19" borderId="21" xfId="1" applyFont="1" applyFill="1" applyBorder="1" applyAlignment="1">
      <alignment horizontal="right" vertical="center"/>
    </xf>
    <xf numFmtId="0" fontId="17" fillId="0" borderId="28" xfId="1" applyFont="1" applyBorder="1" applyAlignment="1">
      <alignment horizontal="center"/>
    </xf>
    <xf numFmtId="0" fontId="17" fillId="0" borderId="29" xfId="1" applyFont="1" applyBorder="1" applyAlignment="1">
      <alignment horizontal="center"/>
    </xf>
    <xf numFmtId="0" fontId="17" fillId="0" borderId="33" xfId="1" applyFont="1" applyBorder="1" applyAlignment="1">
      <alignment horizontal="center"/>
    </xf>
  </cellXfs>
  <cellStyles count="5">
    <cellStyle name="Standaard" xfId="0" builtinId="0"/>
    <cellStyle name="Standaard 2" xfId="1" xr:uid="{00000000-0005-0000-0000-000001000000}"/>
    <cellStyle name="Standaard 6" xfId="3" xr:uid="{00000000-0005-0000-0000-000002000000}"/>
    <cellStyle name="Standaard 7" xfId="2" xr:uid="{00000000-0005-0000-0000-000003000000}"/>
    <cellStyle name="Standaard 8" xfId="4" xr:uid="{00000000-0005-0000-0000-000004000000}"/>
  </cellStyles>
  <dxfs count="15">
    <dxf>
      <font>
        <color theme="0"/>
      </font>
      <fill>
        <patternFill patternType="solid">
          <fgColor indexed="64"/>
          <bgColor theme="4" tint="0.39994506668294322"/>
        </patternFill>
      </fill>
    </dxf>
    <dxf>
      <font>
        <color theme="0"/>
      </font>
      <fill>
        <patternFill patternType="solid">
          <fgColor indexed="64"/>
          <bgColor theme="3" tint="0.59996337778862885"/>
        </patternFill>
      </fill>
    </dxf>
    <dxf>
      <font>
        <color theme="0"/>
      </font>
      <fill>
        <patternFill patternType="solid">
          <fgColor indexed="64"/>
          <bgColor theme="3" tint="0.39994506668294322"/>
        </patternFill>
      </fill>
    </dxf>
    <dxf>
      <font>
        <color theme="0"/>
      </font>
      <fill>
        <patternFill patternType="solid">
          <fgColor indexed="64"/>
          <bgColor theme="4" tint="0.39994506668294322"/>
        </patternFill>
      </fill>
    </dxf>
    <dxf>
      <font>
        <color theme="0"/>
      </font>
      <fill>
        <patternFill patternType="solid">
          <fgColor indexed="64"/>
          <bgColor theme="3" tint="0.39994506668294322"/>
        </patternFill>
      </fill>
    </dxf>
    <dxf>
      <font>
        <color theme="0"/>
      </font>
      <fill>
        <patternFill patternType="solid">
          <fgColor indexed="64"/>
          <bgColor theme="3" tint="0.59996337778862885"/>
        </patternFill>
      </fill>
    </dxf>
    <dxf>
      <font>
        <color theme="0"/>
      </font>
      <fill>
        <patternFill patternType="solid">
          <fgColor indexed="64"/>
          <bgColor theme="3" tint="0.39994506668294322"/>
        </patternFill>
      </fill>
    </dxf>
    <dxf>
      <font>
        <color theme="0"/>
      </font>
      <fill>
        <patternFill patternType="solid">
          <fgColor indexed="64"/>
          <bgColor theme="3" tint="0.59996337778862885"/>
        </patternFill>
      </fill>
    </dxf>
    <dxf>
      <font>
        <color theme="0"/>
      </font>
      <fill>
        <patternFill patternType="solid">
          <fgColor indexed="64"/>
          <bgColor theme="4" tint="0.39994506668294322"/>
        </patternFill>
      </fill>
    </dxf>
    <dxf>
      <font>
        <color theme="0"/>
      </font>
      <fill>
        <patternFill patternType="solid">
          <fgColor indexed="64"/>
          <bgColor theme="3" tint="0.39994506668294322"/>
        </patternFill>
      </fill>
    </dxf>
    <dxf>
      <font>
        <color theme="0"/>
      </font>
      <fill>
        <patternFill patternType="solid">
          <fgColor indexed="64"/>
          <bgColor theme="3" tint="0.59996337778862885"/>
        </patternFill>
      </fill>
    </dxf>
    <dxf>
      <font>
        <color theme="0"/>
      </font>
      <fill>
        <patternFill patternType="solid">
          <fgColor indexed="64"/>
          <bgColor theme="4" tint="0.39994506668294322"/>
        </patternFill>
      </fill>
    </dxf>
    <dxf>
      <font>
        <color theme="0"/>
      </font>
      <fill>
        <patternFill patternType="solid">
          <fgColor indexed="64"/>
          <bgColor theme="3" tint="0.39994506668294322"/>
        </patternFill>
      </fill>
    </dxf>
    <dxf>
      <font>
        <color theme="0"/>
      </font>
      <fill>
        <patternFill patternType="solid">
          <fgColor indexed="64"/>
          <bgColor theme="3" tint="0.59996337778862885"/>
        </patternFill>
      </fill>
    </dxf>
    <dxf>
      <font>
        <color theme="0"/>
      </font>
      <fill>
        <patternFill patternType="solid">
          <fgColor indexed="64"/>
          <bgColor theme="4" tint="0.39994506668294322"/>
        </patternFill>
      </fill>
    </dxf>
  </dxfs>
  <tableStyles count="0" defaultTableStyle="TableStyleMedium2" defaultPivotStyle="PivotStyleLight16"/>
  <colors>
    <mruColors>
      <color rgb="FFF0D190"/>
      <color rgb="FFCCECFF"/>
      <color rgb="FFEBCAD8"/>
      <color rgb="FFE8785E"/>
      <color rgb="FFF09EB2"/>
      <color rgb="FF80E4CC"/>
      <color rgb="FF52ADF0"/>
      <color rgb="FFE0A600"/>
      <color rgb="FF43B649"/>
      <color rgb="FFD478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387075394379243"/>
          <c:y val="0.22673857775529369"/>
          <c:w val="0.61175179792300705"/>
          <c:h val="0.79816900245959899"/>
        </c:manualLayout>
      </c:layout>
      <c:radarChart>
        <c:radarStyle val="marker"/>
        <c:varyColors val="0"/>
        <c:ser>
          <c:idx val="1"/>
          <c:order val="0"/>
          <c:cat>
            <c:strRef>
              <c:f>Resultaten!$B$4:$B$8</c:f>
              <c:strCache>
                <c:ptCount val="5"/>
                <c:pt idx="0">
                  <c:v>Governance</c:v>
                </c:pt>
                <c:pt idx="1">
                  <c:v>Visie</c:v>
                </c:pt>
                <c:pt idx="2">
                  <c:v>Business Case</c:v>
                </c:pt>
                <c:pt idx="3">
                  <c:v>Financiën</c:v>
                </c:pt>
                <c:pt idx="4">
                  <c:v>Toezicht</c:v>
                </c:pt>
              </c:strCache>
            </c:strRef>
          </c:cat>
          <c:val>
            <c:numRef>
              <c:f>Resultaten!$C$4:$C$8</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C15B-5247-A8C5-95BAB3097557}"/>
            </c:ext>
          </c:extLst>
        </c:ser>
        <c:ser>
          <c:idx val="0"/>
          <c:order val="1"/>
          <c:cat>
            <c:strRef>
              <c:f>Resultaten!$B$4:$B$8</c:f>
              <c:strCache>
                <c:ptCount val="5"/>
                <c:pt idx="0">
                  <c:v>Governance</c:v>
                </c:pt>
                <c:pt idx="1">
                  <c:v>Visie</c:v>
                </c:pt>
                <c:pt idx="2">
                  <c:v>Business Case</c:v>
                </c:pt>
                <c:pt idx="3">
                  <c:v>Financiën</c:v>
                </c:pt>
                <c:pt idx="4">
                  <c:v>Toezicht</c:v>
                </c:pt>
              </c:strCache>
            </c:strRef>
          </c:cat>
          <c:val>
            <c:numRef>
              <c:f>Resultaten!$D$4:$D$8</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1-C15B-5247-A8C5-95BAB3097557}"/>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numFmt formatCode="General" sourceLinked="1"/>
        <c:majorTickMark val="out"/>
        <c:minorTickMark val="none"/>
        <c:tickLblPos val="nextTo"/>
        <c:txPr>
          <a:bodyPr rot="0" vert="horz"/>
          <a:lstStyle/>
          <a:p>
            <a:pPr>
              <a:defRPr sz="1400"/>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numFmt formatCode="0.0" sourceLinked="1"/>
        <c:majorTickMark val="cross"/>
        <c:minorTickMark val="none"/>
        <c:tickLblPos val="nextTo"/>
        <c:txPr>
          <a:bodyPr rot="0" vert="horz"/>
          <a:lstStyle/>
          <a:p>
            <a:pPr>
              <a:defRPr/>
            </a:pPr>
            <a:endParaRPr lang="nl-NL"/>
          </a:p>
        </c:txPr>
        <c:crossAx val="210550784"/>
        <c:crosses val="autoZero"/>
        <c:crossBetween val="between"/>
        <c:majorUnit val="1"/>
        <c:minorUnit val="0.5"/>
      </c:valAx>
    </c:plotArea>
    <c:plotVisOnly val="1"/>
    <c:dispBlanksAs val="gap"/>
    <c:showDLblsOverMax val="0"/>
  </c:chart>
  <c:spPr>
    <a:noFill/>
    <a:ln>
      <a:noFill/>
    </a:ln>
  </c:spPr>
  <c:printSettings>
    <c:headerFooter alignWithMargins="0"/>
    <c:pageMargins b="1" l="0.75000000000000078" r="0.75000000000000078"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99142958635702"/>
          <c:y val="0.26304111646843442"/>
          <c:w val="0.61175179792300705"/>
          <c:h val="0.79816900245959899"/>
        </c:manualLayout>
      </c:layout>
      <c:radarChart>
        <c:radarStyle val="marker"/>
        <c:varyColors val="0"/>
        <c:ser>
          <c:idx val="1"/>
          <c:order val="0"/>
          <c:cat>
            <c:strRef>
              <c:f>Resultaten!$B$12:$B$16</c:f>
              <c:strCache>
                <c:ptCount val="5"/>
                <c:pt idx="0">
                  <c:v>Werkgroepen</c:v>
                </c:pt>
                <c:pt idx="1">
                  <c:v>Adoptie &amp; Erkenning</c:v>
                </c:pt>
                <c:pt idx="2">
                  <c:v>Architectuur</c:v>
                </c:pt>
                <c:pt idx="3">
                  <c:v>Risicoanalyse</c:v>
                </c:pt>
                <c:pt idx="4">
                  <c:v>Roadmapping</c:v>
                </c:pt>
              </c:strCache>
            </c:strRef>
          </c:cat>
          <c:val>
            <c:numRef>
              <c:f>Resultaten!$C$12:$C$16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C79F-744D-ADB5-61CE03A5A21C}"/>
            </c:ext>
          </c:extLst>
        </c:ser>
        <c:ser>
          <c:idx val="0"/>
          <c:order val="1"/>
          <c:cat>
            <c:strRef>
              <c:f>Resultaten!$B$12:$B$16</c:f>
              <c:strCache>
                <c:ptCount val="5"/>
                <c:pt idx="0">
                  <c:v>Werkgroepen</c:v>
                </c:pt>
                <c:pt idx="1">
                  <c:v>Adoptie &amp; Erkenning</c:v>
                </c:pt>
                <c:pt idx="2">
                  <c:v>Architectuur</c:v>
                </c:pt>
                <c:pt idx="3">
                  <c:v>Risicoanalyse</c:v>
                </c:pt>
                <c:pt idx="4">
                  <c:v>Roadmapping</c:v>
                </c:pt>
              </c:strCache>
            </c:strRef>
          </c:cat>
          <c:val>
            <c:numRef>
              <c:f>Resultaten!$D$12:$D$16</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1-C79F-744D-ADB5-61CE03A5A21C}"/>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nchor="t" anchorCtr="0"/>
          <a:lstStyle/>
          <a:p>
            <a:pPr>
              <a:defRPr sz="1400" b="0" i="0" u="none" strike="noStrike" baseline="0">
                <a:solidFill>
                  <a:schemeClr val="tx1">
                    <a:lumMod val="95000"/>
                    <a:lumOff val="5000"/>
                  </a:schemeClr>
                </a:solidFill>
                <a:latin typeface="+mn-lt"/>
                <a:ea typeface="Arial"/>
                <a:cs typeface="Arial"/>
              </a:defRPr>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spPr>
            <a:ln w="3175">
              <a:solidFill>
                <a:srgbClr val="C0C0C0"/>
              </a:solidFill>
              <a:prstDash val="solid"/>
            </a:ln>
          </c:spPr>
        </c:majorGridlines>
        <c:numFmt formatCode="0.0" sourceLinked="1"/>
        <c:majorTickMark val="cross"/>
        <c:minorTickMark val="none"/>
        <c:tickLblPos val="nextTo"/>
        <c:spPr>
          <a:ln w="3175">
            <a:solidFill>
              <a:srgbClr val="808080"/>
            </a:solidFill>
            <a:prstDash val="solid"/>
          </a:ln>
        </c:spPr>
        <c:txPr>
          <a:bodyPr rot="0" vert="horz"/>
          <a:lstStyle/>
          <a:p>
            <a:pPr>
              <a:defRPr sz="900" b="0" i="0" u="none" strike="noStrike" baseline="0">
                <a:solidFill>
                  <a:schemeClr val="bg1">
                    <a:lumMod val="50000"/>
                  </a:schemeClr>
                </a:solidFill>
                <a:latin typeface="Verdana"/>
                <a:ea typeface="Verdana"/>
                <a:cs typeface="Verdana"/>
              </a:defRPr>
            </a:pPr>
            <a:endParaRPr lang="nl-NL"/>
          </a:p>
        </c:txPr>
        <c:crossAx val="210550784"/>
        <c:crosses val="autoZero"/>
        <c:crossBetween val="between"/>
        <c:majorUnit val="1"/>
        <c:minorUnit val="0.5"/>
      </c:valAx>
      <c:spPr>
        <a:noFill/>
        <a:ln w="25400">
          <a:noFill/>
        </a:ln>
      </c:spPr>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nl-NL"/>
    </a:p>
  </c:txPr>
  <c:printSettings>
    <c:headerFooter alignWithMargins="0"/>
    <c:pageMargins b="1" l="0.75000000000000078" r="0.75000000000000078"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99142958635702"/>
          <c:y val="0.26304111646843442"/>
          <c:w val="0.61175179792300705"/>
          <c:h val="0.79816900245959899"/>
        </c:manualLayout>
      </c:layout>
      <c:radarChart>
        <c:radarStyle val="marker"/>
        <c:varyColors val="0"/>
        <c:ser>
          <c:idx val="1"/>
          <c:order val="0"/>
          <c:cat>
            <c:strRef>
              <c:f>Resultaten!$B$20:$B$23</c:f>
              <c:strCache>
                <c:ptCount val="4"/>
                <c:pt idx="0">
                  <c:v>Wensen &amp; eisen</c:v>
                </c:pt>
                <c:pt idx="1">
                  <c:v>Ontwikkeling</c:v>
                </c:pt>
                <c:pt idx="2">
                  <c:v>Uitvoering</c:v>
                </c:pt>
                <c:pt idx="3">
                  <c:v>Documentatie</c:v>
                </c:pt>
              </c:strCache>
            </c:strRef>
          </c:cat>
          <c:val>
            <c:numRef>
              <c:f>Resultaten!$C$20:$C$23</c:f>
              <c:numCache>
                <c:formatCode>0.0</c:formatCode>
                <c:ptCount val="4"/>
                <c:pt idx="0">
                  <c:v>0</c:v>
                </c:pt>
                <c:pt idx="1">
                  <c:v>0</c:v>
                </c:pt>
                <c:pt idx="2">
                  <c:v>0</c:v>
                </c:pt>
                <c:pt idx="3">
                  <c:v>0</c:v>
                </c:pt>
              </c:numCache>
            </c:numRef>
          </c:val>
          <c:extLst>
            <c:ext xmlns:c16="http://schemas.microsoft.com/office/drawing/2014/chart" uri="{C3380CC4-5D6E-409C-BE32-E72D297353CC}">
              <c16:uniqueId val="{00000001-1149-404A-8198-A47FE99C0EEC}"/>
            </c:ext>
          </c:extLst>
        </c:ser>
        <c:ser>
          <c:idx val="0"/>
          <c:order val="1"/>
          <c:cat>
            <c:strRef>
              <c:f>Resultaten!$B$20:$B$23</c:f>
              <c:strCache>
                <c:ptCount val="4"/>
                <c:pt idx="0">
                  <c:v>Wensen &amp; eisen</c:v>
                </c:pt>
                <c:pt idx="1">
                  <c:v>Ontwikkeling</c:v>
                </c:pt>
                <c:pt idx="2">
                  <c:v>Uitvoering</c:v>
                </c:pt>
                <c:pt idx="3">
                  <c:v>Documentatie</c:v>
                </c:pt>
              </c:strCache>
            </c:strRef>
          </c:cat>
          <c:val>
            <c:numRef>
              <c:f>Resultaten!$D$20:$D$23</c:f>
              <c:numCache>
                <c:formatCode>0.0</c:formatCode>
                <c:ptCount val="4"/>
                <c:pt idx="0">
                  <c:v>5</c:v>
                </c:pt>
                <c:pt idx="1">
                  <c:v>5</c:v>
                </c:pt>
                <c:pt idx="2">
                  <c:v>5</c:v>
                </c:pt>
                <c:pt idx="3">
                  <c:v>5</c:v>
                </c:pt>
              </c:numCache>
            </c:numRef>
          </c:val>
          <c:extLst>
            <c:ext xmlns:c16="http://schemas.microsoft.com/office/drawing/2014/chart" uri="{C3380CC4-5D6E-409C-BE32-E72D297353CC}">
              <c16:uniqueId val="{00000000-0B37-45A1-8142-09C847CED0F0}"/>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nchor="t" anchorCtr="0"/>
          <a:lstStyle/>
          <a:p>
            <a:pPr>
              <a:defRPr sz="1400" b="0" i="0" u="none" strike="noStrike" baseline="0">
                <a:solidFill>
                  <a:schemeClr val="tx1">
                    <a:lumMod val="95000"/>
                    <a:lumOff val="5000"/>
                  </a:schemeClr>
                </a:solidFill>
                <a:latin typeface="+mn-lt"/>
                <a:ea typeface="Arial"/>
                <a:cs typeface="Arial"/>
              </a:defRPr>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spPr>
            <a:ln w="3175">
              <a:solidFill>
                <a:srgbClr val="C0C0C0"/>
              </a:solidFill>
              <a:prstDash val="solid"/>
            </a:ln>
          </c:spPr>
        </c:majorGridlines>
        <c:numFmt formatCode="0.0" sourceLinked="1"/>
        <c:majorTickMark val="cross"/>
        <c:minorTickMark val="none"/>
        <c:tickLblPos val="nextTo"/>
        <c:spPr>
          <a:ln w="3175">
            <a:solidFill>
              <a:srgbClr val="808080"/>
            </a:solidFill>
            <a:prstDash val="solid"/>
          </a:ln>
        </c:spPr>
        <c:txPr>
          <a:bodyPr rot="0" vert="horz"/>
          <a:lstStyle/>
          <a:p>
            <a:pPr>
              <a:defRPr sz="900" b="0" i="0" u="none" strike="noStrike" baseline="0">
                <a:solidFill>
                  <a:schemeClr val="bg1">
                    <a:lumMod val="50000"/>
                  </a:schemeClr>
                </a:solidFill>
                <a:latin typeface="Verdana"/>
                <a:ea typeface="Verdana"/>
                <a:cs typeface="Verdana"/>
              </a:defRPr>
            </a:pPr>
            <a:endParaRPr lang="nl-NL"/>
          </a:p>
        </c:txPr>
        <c:crossAx val="210550784"/>
        <c:crosses val="autoZero"/>
        <c:crossBetween val="between"/>
        <c:majorUnit val="1"/>
        <c:minorUnit val="0.5"/>
      </c:valAx>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nl-NL"/>
    </a:p>
  </c:txPr>
  <c:printSettings>
    <c:headerFooter alignWithMargins="0"/>
    <c:pageMargins b="1" l="0.75000000000000078" r="0.75000000000000078"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99142958635702"/>
          <c:y val="0.26304111646843442"/>
          <c:w val="0.61175179792300705"/>
          <c:h val="0.79816900245959899"/>
        </c:manualLayout>
      </c:layout>
      <c:radarChart>
        <c:radarStyle val="marker"/>
        <c:varyColors val="0"/>
        <c:ser>
          <c:idx val="1"/>
          <c:order val="0"/>
          <c:cat>
            <c:strRef>
              <c:f>Resultaten!$B$27:$B$31</c:f>
              <c:strCache>
                <c:ptCount val="5"/>
                <c:pt idx="0">
                  <c:v>Opleiding</c:v>
                </c:pt>
                <c:pt idx="1">
                  <c:v>Ondersteuning</c:v>
                </c:pt>
                <c:pt idx="2">
                  <c:v>Module Ontwikkeling</c:v>
                </c:pt>
                <c:pt idx="3">
                  <c:v>Pilot/vernieuwing</c:v>
                </c:pt>
                <c:pt idx="4">
                  <c:v>Validatie &amp; Certificatie</c:v>
                </c:pt>
              </c:strCache>
            </c:strRef>
          </c:cat>
          <c:val>
            <c:numRef>
              <c:f>Resultaten!$C$27:$C$31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2-CA58-8945-BC33-AD462BD97711}"/>
            </c:ext>
          </c:extLst>
        </c:ser>
        <c:ser>
          <c:idx val="0"/>
          <c:order val="1"/>
          <c:cat>
            <c:strRef>
              <c:f>Resultaten!$B$27:$B$31</c:f>
              <c:strCache>
                <c:ptCount val="5"/>
                <c:pt idx="0">
                  <c:v>Opleiding</c:v>
                </c:pt>
                <c:pt idx="1">
                  <c:v>Ondersteuning</c:v>
                </c:pt>
                <c:pt idx="2">
                  <c:v>Module Ontwikkeling</c:v>
                </c:pt>
                <c:pt idx="3">
                  <c:v>Pilot/vernieuwing</c:v>
                </c:pt>
                <c:pt idx="4">
                  <c:v>Validatie &amp; Certificatie</c:v>
                </c:pt>
              </c:strCache>
            </c:strRef>
          </c:cat>
          <c:val>
            <c:numRef>
              <c:f>Resultaten!$D$27:$D$31</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3-CA58-8945-BC33-AD462BD97711}"/>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nchor="t" anchorCtr="0"/>
          <a:lstStyle/>
          <a:p>
            <a:pPr>
              <a:defRPr sz="1400" b="0" i="0" u="none" strike="noStrike" baseline="0">
                <a:solidFill>
                  <a:schemeClr val="tx1">
                    <a:lumMod val="95000"/>
                    <a:lumOff val="5000"/>
                  </a:schemeClr>
                </a:solidFill>
                <a:latin typeface="+mn-lt"/>
                <a:ea typeface="Arial"/>
                <a:cs typeface="Arial"/>
              </a:defRPr>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spPr>
            <a:ln w="3175">
              <a:solidFill>
                <a:srgbClr val="C0C0C0"/>
              </a:solidFill>
              <a:prstDash val="solid"/>
            </a:ln>
          </c:spPr>
        </c:majorGridlines>
        <c:numFmt formatCode="0.0" sourceLinked="1"/>
        <c:majorTickMark val="cross"/>
        <c:minorTickMark val="none"/>
        <c:tickLblPos val="nextTo"/>
        <c:spPr>
          <a:ln w="3175">
            <a:solidFill>
              <a:srgbClr val="808080"/>
            </a:solidFill>
            <a:prstDash val="solid"/>
          </a:ln>
        </c:spPr>
        <c:txPr>
          <a:bodyPr rot="0" vert="horz"/>
          <a:lstStyle/>
          <a:p>
            <a:pPr>
              <a:defRPr sz="900" b="0" i="0" u="none" strike="noStrike" baseline="0">
                <a:solidFill>
                  <a:schemeClr val="bg1">
                    <a:lumMod val="50000"/>
                  </a:schemeClr>
                </a:solidFill>
                <a:latin typeface="Verdana"/>
                <a:ea typeface="Verdana"/>
                <a:cs typeface="Verdana"/>
              </a:defRPr>
            </a:pPr>
            <a:endParaRPr lang="nl-NL"/>
          </a:p>
        </c:txPr>
        <c:crossAx val="210550784"/>
        <c:crosses val="autoZero"/>
        <c:crossBetween val="between"/>
        <c:majorUnit val="1"/>
        <c:minorUnit val="0.5"/>
      </c:valAx>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nl-NL"/>
    </a:p>
  </c:txPr>
  <c:printSettings>
    <c:headerFooter alignWithMargins="0"/>
    <c:pageMargins b="1" l="0.75000000000000078" r="0.75000000000000078"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9322591119409042"/>
          <c:y val="0.16243129091622169"/>
          <c:w val="0.38543404497118272"/>
          <c:h val="0.71622801460162311"/>
        </c:manualLayout>
      </c:layout>
      <c:radarChart>
        <c:radarStyle val="marker"/>
        <c:varyColors val="0"/>
        <c:ser>
          <c:idx val="1"/>
          <c:order val="0"/>
          <c:dPt>
            <c:idx val="2"/>
            <c:bubble3D val="0"/>
            <c:extLst>
              <c:ext xmlns:c16="http://schemas.microsoft.com/office/drawing/2014/chart" uri="{C3380CC4-5D6E-409C-BE32-E72D297353CC}">
                <c16:uniqueId val="{00000000-BFD8-BC48-83E0-E4EC93238778}"/>
              </c:ext>
            </c:extLst>
          </c:dPt>
          <c:cat>
            <c:strRef>
              <c:f>Resultaten!$B$35:$B$37</c:f>
              <c:strCache>
                <c:ptCount val="3"/>
                <c:pt idx="0">
                  <c:v>Promotie</c:v>
                </c:pt>
                <c:pt idx="1">
                  <c:v>Publicatie</c:v>
                </c:pt>
                <c:pt idx="2">
                  <c:v>Klachtenafhandeling</c:v>
                </c:pt>
              </c:strCache>
            </c:strRef>
          </c:cat>
          <c:val>
            <c:numRef>
              <c:f>Resultaten!$C$35:$C$37</c:f>
              <c:numCache>
                <c:formatCode>0.0</c:formatCode>
                <c:ptCount val="3"/>
                <c:pt idx="0">
                  <c:v>0</c:v>
                </c:pt>
                <c:pt idx="1">
                  <c:v>0</c:v>
                </c:pt>
                <c:pt idx="2">
                  <c:v>0</c:v>
                </c:pt>
              </c:numCache>
            </c:numRef>
          </c:val>
          <c:extLst>
            <c:ext xmlns:c16="http://schemas.microsoft.com/office/drawing/2014/chart" uri="{C3380CC4-5D6E-409C-BE32-E72D297353CC}">
              <c16:uniqueId val="{00000000-D140-4C41-9CE6-DEBD403E4273}"/>
            </c:ext>
          </c:extLst>
        </c:ser>
        <c:ser>
          <c:idx val="0"/>
          <c:order val="1"/>
          <c:cat>
            <c:strRef>
              <c:f>Resultaten!$B$35:$B$37</c:f>
              <c:strCache>
                <c:ptCount val="3"/>
                <c:pt idx="0">
                  <c:v>Promotie</c:v>
                </c:pt>
                <c:pt idx="1">
                  <c:v>Publicatie</c:v>
                </c:pt>
                <c:pt idx="2">
                  <c:v>Klachtenafhandeling</c:v>
                </c:pt>
              </c:strCache>
            </c:strRef>
          </c:cat>
          <c:val>
            <c:numRef>
              <c:f>Resultaten!$D$35:$D$37</c:f>
              <c:numCache>
                <c:formatCode>0.0</c:formatCode>
                <c:ptCount val="3"/>
                <c:pt idx="0">
                  <c:v>5</c:v>
                </c:pt>
                <c:pt idx="1">
                  <c:v>5</c:v>
                </c:pt>
                <c:pt idx="2">
                  <c:v>5</c:v>
                </c:pt>
              </c:numCache>
            </c:numRef>
          </c:val>
          <c:extLst>
            <c:ext xmlns:c16="http://schemas.microsoft.com/office/drawing/2014/chart" uri="{C3380CC4-5D6E-409C-BE32-E72D297353CC}">
              <c16:uniqueId val="{00000001-D140-4C41-9CE6-DEBD403E4273}"/>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nchor="t" anchorCtr="0"/>
          <a:lstStyle/>
          <a:p>
            <a:pPr>
              <a:defRPr sz="1400" b="0" i="0" u="none" strike="noStrike" baseline="0">
                <a:solidFill>
                  <a:schemeClr val="tx1">
                    <a:lumMod val="95000"/>
                    <a:lumOff val="5000"/>
                  </a:schemeClr>
                </a:solidFill>
                <a:latin typeface="+mn-lt"/>
                <a:ea typeface="Arial"/>
                <a:cs typeface="Arial"/>
              </a:defRPr>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spPr>
            <a:ln w="3175">
              <a:solidFill>
                <a:srgbClr val="C0C0C0"/>
              </a:solidFill>
              <a:prstDash val="solid"/>
            </a:ln>
          </c:spPr>
        </c:majorGridlines>
        <c:numFmt formatCode="0.0" sourceLinked="1"/>
        <c:majorTickMark val="cross"/>
        <c:minorTickMark val="none"/>
        <c:tickLblPos val="nextTo"/>
        <c:spPr>
          <a:ln w="3175">
            <a:solidFill>
              <a:srgbClr val="808080"/>
            </a:solidFill>
            <a:prstDash val="solid"/>
          </a:ln>
        </c:spPr>
        <c:txPr>
          <a:bodyPr rot="0" vert="horz"/>
          <a:lstStyle/>
          <a:p>
            <a:pPr>
              <a:defRPr sz="900" b="0" i="0" u="none" strike="noStrike" baseline="0">
                <a:solidFill>
                  <a:schemeClr val="bg1">
                    <a:lumMod val="50000"/>
                  </a:schemeClr>
                </a:solidFill>
                <a:latin typeface="Verdana"/>
                <a:ea typeface="Verdana"/>
                <a:cs typeface="Verdana"/>
              </a:defRPr>
            </a:pPr>
            <a:endParaRPr lang="nl-NL"/>
          </a:p>
        </c:txPr>
        <c:crossAx val="210550784"/>
        <c:crosses val="autoZero"/>
        <c:crossBetween val="between"/>
        <c:majorUnit val="1"/>
        <c:minorUnit val="0.5"/>
      </c:valAx>
      <c:spPr>
        <a:noFill/>
        <a:ln w="25400">
          <a:noFill/>
        </a:ln>
      </c:spPr>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nl-NL"/>
    </a:p>
  </c:txPr>
  <c:printSettings>
    <c:headerFooter alignWithMargins="0"/>
    <c:pageMargins b="1" l="0.75000000000000078" r="0.75000000000000078"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4248077226883069"/>
          <c:y val="6.3264935289682203E-2"/>
          <c:w val="0.54776326401649633"/>
          <c:h val="0.8143356530983078"/>
        </c:manualLayout>
      </c:layout>
      <c:radarChart>
        <c:radarStyle val="marker"/>
        <c:varyColors val="0"/>
        <c:ser>
          <c:idx val="1"/>
          <c:order val="0"/>
          <c:spPr>
            <a:ln w="38100"/>
          </c:spPr>
          <c:cat>
            <c:strRef>
              <c:f>(Resultaten!$B$3,Resultaten!$B$11,Resultaten!$B$19,Resultaten!$B$26,Resultaten!$B$34)</c:f>
              <c:strCache>
                <c:ptCount val="5"/>
                <c:pt idx="0">
                  <c:v>Strategie</c:v>
                </c:pt>
                <c:pt idx="1">
                  <c:v>Tactiek</c:v>
                </c:pt>
                <c:pt idx="2">
                  <c:v>Operationeel</c:v>
                </c:pt>
                <c:pt idx="3">
                  <c:v>Implementatie Ondersteuning</c:v>
                </c:pt>
                <c:pt idx="4">
                  <c:v>Communicatie</c:v>
                </c:pt>
              </c:strCache>
            </c:strRef>
          </c:cat>
          <c:val>
            <c:numRef>
              <c:f>(Resultaten!$C$9,Resultaten!$C$17,Resultaten!$C$24,Resultaten!$C$32,Resultaten!$C$38)</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DC10-AE46-813F-DEA3129C6146}"/>
            </c:ext>
          </c:extLst>
        </c:ser>
        <c:ser>
          <c:idx val="0"/>
          <c:order val="1"/>
          <c:spPr>
            <a:ln w="38100"/>
          </c:spPr>
          <c:cat>
            <c:strRef>
              <c:f>(Resultaten!$B$3,Resultaten!$B$11,Resultaten!$B$19,Resultaten!$B$26,Resultaten!$B$34)</c:f>
              <c:strCache>
                <c:ptCount val="5"/>
                <c:pt idx="0">
                  <c:v>Strategie</c:v>
                </c:pt>
                <c:pt idx="1">
                  <c:v>Tactiek</c:v>
                </c:pt>
                <c:pt idx="2">
                  <c:v>Operationeel</c:v>
                </c:pt>
                <c:pt idx="3">
                  <c:v>Implementatie Ondersteuning</c:v>
                </c:pt>
                <c:pt idx="4">
                  <c:v>Communicatie</c:v>
                </c:pt>
              </c:strCache>
            </c:strRef>
          </c:cat>
          <c:val>
            <c:numRef>
              <c:f>(Resultaten!$D$9,Resultaten!$D$17,Resultaten!$D$24,Resultaten!$D$32,Resultaten!$D$38)</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1-DC10-AE46-813F-DEA3129C6146}"/>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numFmt formatCode="General" sourceLinked="1"/>
        <c:majorTickMark val="out"/>
        <c:minorTickMark val="none"/>
        <c:tickLblPos val="nextTo"/>
        <c:txPr>
          <a:bodyPr rot="0" vert="horz"/>
          <a:lstStyle/>
          <a:p>
            <a:pPr>
              <a:defRPr sz="1800"/>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numFmt formatCode="0.0" sourceLinked="1"/>
        <c:majorTickMark val="cross"/>
        <c:minorTickMark val="none"/>
        <c:tickLblPos val="nextTo"/>
        <c:txPr>
          <a:bodyPr rot="0" vert="horz"/>
          <a:lstStyle/>
          <a:p>
            <a:pPr>
              <a:defRPr/>
            </a:pPr>
            <a:endParaRPr lang="nl-NL"/>
          </a:p>
        </c:txPr>
        <c:crossAx val="210550784"/>
        <c:crosses val="autoZero"/>
        <c:crossBetween val="between"/>
        <c:majorUnit val="1"/>
        <c:minorUnit val="0.5"/>
      </c:valAx>
    </c:plotArea>
    <c:plotVisOnly val="1"/>
    <c:dispBlanksAs val="gap"/>
    <c:showDLblsOverMax val="0"/>
  </c:chart>
  <c:spPr>
    <a:noFill/>
    <a:ln>
      <a:noFill/>
    </a:ln>
  </c:spPr>
  <c:printSettings>
    <c:headerFooter alignWithMargins="0"/>
    <c:pageMargins b="1" l="0.75000000000000078" r="0.75000000000000078" t="1" header="0.5" footer="0.5"/>
    <c:pageSetup/>
  </c:printSettings>
</c:chartSpace>
</file>

<file path=xl/ctrlProps/ctrlProp1.xml><?xml version="1.0" encoding="utf-8"?>
<formControlPr xmlns="http://schemas.microsoft.com/office/spreadsheetml/2009/9/main" objectType="Drop" dropStyle="combo" dx="16" fmlaLink="_output!$B$4" fmlaRange="_invoervelden!$D$20:$D$25" noThreeD="1" sel="6" val="0"/>
</file>

<file path=xl/ctrlProps/ctrlProp2.xml><?xml version="1.0" encoding="utf-8"?>
<formControlPr xmlns="http://schemas.microsoft.com/office/spreadsheetml/2009/9/main" objectType="Drop" dropStyle="combo" dx="16" fmlaLink="_output!$B$5" fmlaRange="_invoervelden!$D$20:$D$25" noThreeD="1" sel="6" val="0"/>
</file>

<file path=xl/ctrlProps/ctrlProp3.xml><?xml version="1.0" encoding="utf-8"?>
<formControlPr xmlns="http://schemas.microsoft.com/office/spreadsheetml/2009/9/main" objectType="Drop" dropStyle="combo" dx="16" fmlaLink="_output!$B$8" fmlaRange="_invoervelden!$D$20:$D$25" noThreeD="1" sel="6" val="0"/>
</file>

<file path=xl/ctrlProps/ctrlProp4.xml><?xml version="1.0" encoding="utf-8"?>
<formControlPr xmlns="http://schemas.microsoft.com/office/spreadsheetml/2009/9/main" objectType="Drop" dropStyle="combo" dx="16" fmlaLink="_output!$B$9" fmlaRange="_invoervelden!$D$20:$D$25" noThreeD="1" sel="6" val="0"/>
</file>

<file path=xl/ctrlProps/ctrlProp5.xml><?xml version="1.0" encoding="utf-8"?>
<formControlPr xmlns="http://schemas.microsoft.com/office/spreadsheetml/2009/9/main" objectType="Drop" dropStyle="combo" dx="16" fmlaLink="_output!$B$6" fmlaRange="_invoervelden!$D$20:$D$25" noThreeD="1" sel="6" val="0"/>
</file>

<file path=xl/ctrlProps/ctrlProp6.xml><?xml version="1.0" encoding="utf-8"?>
<formControlPr xmlns="http://schemas.microsoft.com/office/spreadsheetml/2009/9/main" objectType="Drop" dropStyle="combo" dx="16" fmlaLink="_output!$B$7" fmlaRange="_invoervelden!$D$20:$D$25" noThreeD="1" sel="6" val="0"/>
</file>

<file path=xl/ctrlProps/ctrlProp7.xml><?xml version="1.0" encoding="utf-8"?>
<formControlPr xmlns="http://schemas.microsoft.com/office/spreadsheetml/2009/9/main" objectType="Drop" dropStyle="combo" dx="16" fmlaLink="_output!$B$17" fmlaRange="_invoervelden!$D$20:$D$25" noThreeD="1" sel="6" val="0"/>
</file>

<file path=xl/ctrlProps/ctrlProp8.xml><?xml version="1.0" encoding="utf-8"?>
<formControlPr xmlns="http://schemas.microsoft.com/office/spreadsheetml/2009/9/main" objectType="Drop" dropStyle="combo" dx="16" fmlaLink="_output!$B$27" fmlaRange="_invoervelden!$D$13:$D$18" noThreeD="1" sel="6" val="0"/>
</file>

<file path=xl/ctrlProps/ctrlProp9.xml><?xml version="1.0" encoding="utf-8"?>
<formControlPr xmlns="http://schemas.microsoft.com/office/spreadsheetml/2009/9/main" objectType="Drop" dropStyle="combo" dx="16" fmlaLink="_output!$B$28" fmlaRange="_invoervelden!$D$20:$D$25" noThreeD="1" sel="6" val="0"/>
</file>

<file path=xl/ctrlProps/ctrlProp10.xml><?xml version="1.0" encoding="utf-8"?>
<formControlPr xmlns="http://schemas.microsoft.com/office/spreadsheetml/2009/9/main" objectType="Drop" dropStyle="combo" dx="16" fmlaLink="_output!$B$18" fmlaRange="_invoervelden!$D$13:$D$18" noThreeD="1" sel="6" val="0"/>
</file>

<file path=xl/ctrlProps/ctrlProp11.xml><?xml version="1.0" encoding="utf-8"?>
<formControlPr xmlns="http://schemas.microsoft.com/office/spreadsheetml/2009/9/main" objectType="Drop" dropStyle="combo" dx="16" fmlaLink="_output!$B$3" fmlaRange="_invoervelden!$D$20:$D$25" noThreeD="1" sel="6" val="0"/>
</file>

<file path=xl/ctrlProps/ctrlProp12.xml><?xml version="1.0" encoding="utf-8"?>
<formControlPr xmlns="http://schemas.microsoft.com/office/spreadsheetml/2009/9/main" objectType="Drop" dropStyle="combo" dx="16" fmlaLink="_output!$B$19" fmlaRange="_invoervelden!$D$13:$D$18" noThreeD="1" sel="6" val="0"/>
</file>

<file path=xl/ctrlProps/ctrlProp13.xml><?xml version="1.0" encoding="utf-8"?>
<formControlPr xmlns="http://schemas.microsoft.com/office/spreadsheetml/2009/9/main" objectType="Drop" dropStyle="combo" dx="16" fmlaLink="_output!$B$29" fmlaRange="_invoervelden!$D$20:$D$25" noThreeD="1" sel="6" val="0"/>
</file>

<file path=xl/ctrlProps/ctrlProp14.xml><?xml version="1.0" encoding="utf-8"?>
<formControlPr xmlns="http://schemas.microsoft.com/office/spreadsheetml/2009/9/main" objectType="Drop" dropStyle="combo" dx="16" fmlaLink="_output!$B$12" fmlaRange="_invoervelden!$D$20:$D$25" noThreeD="1" sel="6" val="0"/>
</file>

<file path=xl/ctrlProps/ctrlProp15.xml><?xml version="1.0" encoding="utf-8"?>
<formControlPr xmlns="http://schemas.microsoft.com/office/spreadsheetml/2009/9/main" objectType="Drop" dropStyle="combo" dx="16" fmlaLink="_output!$B$13" fmlaRange="_invoervelden!$D$20:$D$25" noThreeD="1" sel="6" val="0"/>
</file>

<file path=xl/ctrlProps/ctrlProp16.xml><?xml version="1.0" encoding="utf-8"?>
<formControlPr xmlns="http://schemas.microsoft.com/office/spreadsheetml/2009/9/main" objectType="Drop" dropStyle="combo" dx="16" fmlaLink="_output!$B$14" fmlaRange="_invoervelden!$D$20:$D$25" noThreeD="1" sel="6" val="0"/>
</file>

<file path=xl/ctrlProps/ctrlProp17.xml><?xml version="1.0" encoding="utf-8"?>
<formControlPr xmlns="http://schemas.microsoft.com/office/spreadsheetml/2009/9/main" objectType="Drop" dropStyle="combo" dx="16" fmlaLink="_output!$B$23" fmlaRange="_invoervelden!$D$20:$D$25" noThreeD="1" sel="6" val="0"/>
</file>

<file path=xl/ctrlProps/ctrlProp18.xml><?xml version="1.0" encoding="utf-8"?>
<formControlPr xmlns="http://schemas.microsoft.com/office/spreadsheetml/2009/9/main" objectType="Drop" dropStyle="combo" dx="16" fmlaLink="_output!$B$24" fmlaRange="_invoervelden!$D$20:$D$25" noThreeD="1" sel="6" val="0"/>
</file>

<file path=xl/ctrlProps/ctrlProp19.xml><?xml version="1.0" encoding="utf-8"?>
<formControlPr xmlns="http://schemas.microsoft.com/office/spreadsheetml/2009/9/main" objectType="Drop" dropStyle="combo" dx="16" fmlaLink="_output!$B$22" fmlaRange="_invoervelden!$D$13:$D$18" noThreeD="1" sel="6" val="0"/>
</file>

<file path=xl/ctrlProps/ctrlProp20.xml><?xml version="1.0" encoding="utf-8"?>
<formControlPr xmlns="http://schemas.microsoft.com/office/spreadsheetml/2009/9/main" objectType="Drop" dropStyle="combo" dx="16" fmlaLink="_output!$B$33" fmlaRange="_invoervelden!$D$13:$D$18" noThreeD="1" sel="6" val="0"/>
</file>

<file path=xl/ctrlProps/ctrlProp21.xml><?xml version="1.0" encoding="utf-8"?>
<formControlPr xmlns="http://schemas.microsoft.com/office/spreadsheetml/2009/9/main" objectType="Drop" dropStyle="combo" dx="16" fmlaLink="_output!$B$34" fmlaRange="_invoervelden!$D$13:$D$18" noThreeD="1" sel="6" val="0"/>
</file>

<file path=xl/ctrlProps/ctrlProp22.xml><?xml version="1.0" encoding="utf-8"?>
<formControlPr xmlns="http://schemas.microsoft.com/office/spreadsheetml/2009/9/main" objectType="Drop" dropStyle="combo" dx="16" fmlaLink="_output!$B$37" fmlaRange="_invoervelden!$D$13:$D$18" noThreeD="1" sel="6" val="0"/>
</file>

<file path=xl/ctrlProps/ctrlProp23.xml><?xml version="1.0" encoding="utf-8"?>
<formControlPr xmlns="http://schemas.microsoft.com/office/spreadsheetml/2009/9/main" objectType="Drop" dropStyle="combo" dx="16" fmlaLink="_output!$B$39" fmlaRange="_invoervelden!$D$13:$D$18" noThreeD="1" sel="6" val="0"/>
</file>

<file path=xl/ctrlProps/ctrlProp24.xml><?xml version="1.0" encoding="utf-8"?>
<formControlPr xmlns="http://schemas.microsoft.com/office/spreadsheetml/2009/9/main" objectType="Drop" dropStyle="combo" dx="16" fmlaLink="_output!$B$42" fmlaRange="_invoervelden!$D$13:$D$18" noThreeD="1" sel="6" val="0"/>
</file>

<file path=xl/ctrlProps/ctrlProp25.xml><?xml version="1.0" encoding="utf-8"?>
<formControlPr xmlns="http://schemas.microsoft.com/office/spreadsheetml/2009/9/main" objectType="Drop" dropStyle="combo" dx="16" fmlaLink="_output!$B$43" fmlaRange="_invoervelden!$D$13:$D$18" noThreeD="1" sel="6" val="0"/>
</file>

<file path=xl/ctrlProps/ctrlProp26.xml><?xml version="1.0" encoding="utf-8"?>
<formControlPr xmlns="http://schemas.microsoft.com/office/spreadsheetml/2009/9/main" objectType="Drop" dropStyle="combo" dx="16" fmlaLink="_output!$B$44" fmlaRange="_invoervelden!$D$13:$D$18" noThreeD="1" sel="6" val="0"/>
</file>

<file path=xl/ctrlProps/ctrlProp27.xml><?xml version="1.0" encoding="utf-8"?>
<formControlPr xmlns="http://schemas.microsoft.com/office/spreadsheetml/2009/9/main" objectType="Drop" dropStyle="combo" dx="16" fmlaLink="_output!$B$47" fmlaRange="_invoervelden!$D$13:$D$18" noThreeD="1" sel="6" val="0"/>
</file>

<file path=xl/ctrlProps/ctrlProp28.xml><?xml version="1.0" encoding="utf-8"?>
<formControlPr xmlns="http://schemas.microsoft.com/office/spreadsheetml/2009/9/main" objectType="Drop" dropStyle="combo" dx="16" fmlaLink="_output!$B$32" fmlaRange="_invoervelden!$D$13:$D$18" noThreeD="1" sel="6" val="0"/>
</file>

<file path=xl/ctrlProps/ctrlProp29.xml><?xml version="1.0" encoding="utf-8"?>
<formControlPr xmlns="http://schemas.microsoft.com/office/spreadsheetml/2009/9/main" objectType="Drop" dropStyle="combo" dx="16" fmlaLink="_output!$B$50" fmlaRange="_invoervelden!$D$13:$D$18" noThreeD="1" sel="6" val="0"/>
</file>

<file path=xl/ctrlProps/ctrlProp30.xml><?xml version="1.0" encoding="utf-8"?>
<formControlPr xmlns="http://schemas.microsoft.com/office/spreadsheetml/2009/9/main" objectType="Drop" dropStyle="combo" dx="16" fmlaLink="_output!$B$51" fmlaRange="_invoervelden!$D$13:$D$18" noThreeD="1" sel="6" val="0"/>
</file>

<file path=xl/ctrlProps/ctrlProp31.xml><?xml version="1.0" encoding="utf-8"?>
<formControlPr xmlns="http://schemas.microsoft.com/office/spreadsheetml/2009/9/main" objectType="Drop" dropStyle="combo" dx="16" fmlaLink="_output!$B$52" fmlaRange="_invoervelden!$D$13:$D$18" noThreeD="1" sel="6" val="0"/>
</file>

<file path=xl/ctrlProps/ctrlProp32.xml><?xml version="1.0" encoding="utf-8"?>
<formControlPr xmlns="http://schemas.microsoft.com/office/spreadsheetml/2009/9/main" objectType="Drop" dropStyle="combo" dx="16" fmlaLink="_output!$B$38" fmlaRange="_invoervelden!$D$13:$D$18" noThreeD="1" sel="6" val="0"/>
</file>

<file path=xl/ctrlProps/ctrlProp33.xml><?xml version="1.0" encoding="utf-8"?>
<formControlPr xmlns="http://schemas.microsoft.com/office/spreadsheetml/2009/9/main" objectType="Drop" dropStyle="combo" dx="16" fmlaLink="_output!$B$55" fmlaRange="_invoervelden!$D$20:$D$25" noThreeD="1" sel="6" val="0"/>
</file>

<file path=xl/ctrlProps/ctrlProp34.xml><?xml version="1.0" encoding="utf-8"?>
<formControlPr xmlns="http://schemas.microsoft.com/office/spreadsheetml/2009/9/main" objectType="Drop" dropStyle="combo" dx="16" fmlaLink="_output!$B$59" fmlaRange="_invoervelden!$D$13:$D$18" noThreeD="1" sel="6" val="0"/>
</file>

<file path=xl/ctrlProps/ctrlProp35.xml><?xml version="1.0" encoding="utf-8"?>
<formControlPr xmlns="http://schemas.microsoft.com/office/spreadsheetml/2009/9/main" objectType="Drop" dropStyle="combo" dx="16" fmlaLink="_output!$B$64" fmlaRange="_invoervelden!$D$13:$D$18" noThreeD="1" sel="6" val="0"/>
</file>

<file path=xl/ctrlProps/ctrlProp36.xml><?xml version="1.0" encoding="utf-8"?>
<formControlPr xmlns="http://schemas.microsoft.com/office/spreadsheetml/2009/9/main" objectType="Drop" dropStyle="combo" dx="16" fmlaLink="_output!$B$67" fmlaRange="_invoervelden!$D$20:$D$25" noThreeD="1" sel="6" val="0"/>
</file>

<file path=xl/ctrlProps/ctrlProp37.xml><?xml version="1.0" encoding="utf-8"?>
<formControlPr xmlns="http://schemas.microsoft.com/office/spreadsheetml/2009/9/main" objectType="Drop" dropStyle="combo" dx="16" fmlaLink="_output!$B$69" fmlaRange="_invoervelden!$D$20:$D$25" noThreeD="1" sel="6" val="0"/>
</file>

<file path=xl/ctrlProps/ctrlProp38.xml><?xml version="1.0" encoding="utf-8"?>
<formControlPr xmlns="http://schemas.microsoft.com/office/spreadsheetml/2009/9/main" objectType="Drop" dropStyle="combo" dx="16" fmlaLink="_output!$B$56" fmlaRange="_invoervelden!$D$20:$D$25" noThreeD="1" sel="6" val="0"/>
</file>

<file path=xl/ctrlProps/ctrlProp39.xml><?xml version="1.0" encoding="utf-8"?>
<formControlPr xmlns="http://schemas.microsoft.com/office/spreadsheetml/2009/9/main" objectType="Drop" dropStyle="combo" dx="16" fmlaLink="_output!$B$60" fmlaRange="_invoervelden!$D$13:$D$18" noThreeD="1" sel="6" val="0"/>
</file>

<file path=xl/ctrlProps/ctrlProp40.xml><?xml version="1.0" encoding="utf-8"?>
<formControlPr xmlns="http://schemas.microsoft.com/office/spreadsheetml/2009/9/main" objectType="Drop" dropStyle="combo" dx="16" fmlaLink="_output!$B$61" fmlaRange="_invoervelden!$D$13:$D$18" noThreeD="1" sel="6" val="0"/>
</file>

<file path=xl/ctrlProps/ctrlProp41.xml><?xml version="1.0" encoding="utf-8"?>
<formControlPr xmlns="http://schemas.microsoft.com/office/spreadsheetml/2009/9/main" objectType="Drop" dropStyle="combo" dx="16" fmlaLink="_output!$B$68" fmlaRange="_invoervelden!$D$20:$D$25" noThreeD="1" sel="6" val="0"/>
</file>

<file path=xl/ctrlProps/ctrlProp42.xml><?xml version="1.0" encoding="utf-8"?>
<formControlPr xmlns="http://schemas.microsoft.com/office/spreadsheetml/2009/9/main" objectType="Drop" dropStyle="combo" dx="16" fmlaLink="_output!$B$72" fmlaRange="_invoervelden!$D$20:$D$25" noThreeD="1" sel="6" val="0"/>
</file>

<file path=xl/ctrlProps/ctrlProp43.xml><?xml version="1.0" encoding="utf-8"?>
<formControlPr xmlns="http://schemas.microsoft.com/office/spreadsheetml/2009/9/main" objectType="Drop" dropStyle="combo" dx="16" fmlaLink="_output!$B$75" fmlaRange="_invoervelden!$D$13:$D$18" noThreeD="1" sel="6" val="0"/>
</file>

<file path=xl/ctrlProps/ctrlProp44.xml><?xml version="1.0" encoding="utf-8"?>
<formControlPr xmlns="http://schemas.microsoft.com/office/spreadsheetml/2009/9/main" objectType="Drop" dropStyle="combo" dx="16" fmlaLink="_output!$B$79" fmlaRange="_invoervelden!$D$13:$D$18" noThreeD="1" sel="6" val="0"/>
</file>

<file path=xl/ctrlProps/ctrlProp45.xml><?xml version="1.0" encoding="utf-8"?>
<formControlPr xmlns="http://schemas.microsoft.com/office/spreadsheetml/2009/9/main" objectType="Drop" dropStyle="combo" dx="16" fmlaLink="_output!$B$82" fmlaRange="_invoervelden!$D$20:$D$25" noThreeD="1" sel="6" val="0"/>
</file>

<file path=xl/ctrlProps/ctrlProp46.xml><?xml version="1.0" encoding="utf-8"?>
<formControlPr xmlns="http://schemas.microsoft.com/office/spreadsheetml/2009/9/main" objectType="Drop" dropStyle="combo" dx="16" fmlaLink="_output!$B$83" fmlaRange="_invoervelden!$D$20:$D$25" noThreeD="1" sel="6" val="0"/>
</file>

<file path=xl/ctrlProps/ctrlProp47.xml><?xml version="1.0" encoding="utf-8"?>
<formControlPr xmlns="http://schemas.microsoft.com/office/spreadsheetml/2009/9/main" objectType="Drop" dropStyle="combo" dx="16" fmlaLink="_output!$B$86" fmlaRange="_invoervelden!$D$13:$D$18" noThreeD="1" sel="6" val="0"/>
</file>

<file path=xl/ctrlProps/ctrlProp48.xml><?xml version="1.0" encoding="utf-8"?>
<formControlPr xmlns="http://schemas.microsoft.com/office/spreadsheetml/2009/9/main" objectType="Drop" dropStyle="combo" dx="16" fmlaLink="_output!$B$87" fmlaRange="_invoervelden!$D$13:$D$18" noThreeD="1" sel="6" val="0"/>
</file>

<file path=xl/ctrlProps/ctrlProp49.xml><?xml version="1.0" encoding="utf-8"?>
<formControlPr xmlns="http://schemas.microsoft.com/office/spreadsheetml/2009/9/main" objectType="Drop" dropStyle="combo" dx="16" fmlaLink="_output!$B$76" fmlaRange="_invoervelden!$D$13:$D$18" noThreeD="1" sel="6" val="0"/>
</file>

<file path=xl/ctrlProps/ctrlProp50.xml><?xml version="1.0" encoding="utf-8"?>
<formControlPr xmlns="http://schemas.microsoft.com/office/spreadsheetml/2009/9/main" objectType="Drop" dropStyle="combo" dx="16" fmlaLink="_output!$B$90" fmlaRange="_invoervelden!$D$20:$D$25" noThreeD="1" sel="6" val="0"/>
</file>

<file path=xl/ctrlProps/ctrlProp51.xml><?xml version="1.0" encoding="utf-8"?>
<formControlPr xmlns="http://schemas.microsoft.com/office/spreadsheetml/2009/9/main" objectType="Drop" dropStyle="combo" dx="16" fmlaLink="_output!$B$100" fmlaRange="_invoervelden!$D$20:$D$25" noThreeD="1" sel="6" val="0"/>
</file>

<file path=xl/ctrlProps/ctrlProp52.xml><?xml version="1.0" encoding="utf-8"?>
<formControlPr xmlns="http://schemas.microsoft.com/office/spreadsheetml/2009/9/main" objectType="Drop" dropStyle="combo" dx="16" fmlaLink="_output!$B$91" fmlaRange="_invoervelden!$D$20:$D$25" noThreeD="1" sel="6" val="0"/>
</file>

<file path=xl/ctrlProps/ctrlProp53.xml><?xml version="1.0" encoding="utf-8"?>
<formControlPr xmlns="http://schemas.microsoft.com/office/spreadsheetml/2009/9/main" objectType="Drop" dropStyle="combo" dx="16" fmlaLink="_output!$B$92" fmlaRange="_invoervelden!$D$20:$D$25" noThreeD="1" sel="6" val="0"/>
</file>

<file path=xl/ctrlProps/ctrlProp54.xml><?xml version="1.0" encoding="utf-8"?>
<formControlPr xmlns="http://schemas.microsoft.com/office/spreadsheetml/2009/9/main" objectType="Drop" dropStyle="combo" dx="16" fmlaLink="_output!$B$95" fmlaRange="_invoervelden!$D$20:$D$25" noThreeD="1" sel="6" val="0"/>
</file>

<file path=xl/ctrlProps/ctrlProp55.xml><?xml version="1.0" encoding="utf-8"?>
<formControlPr xmlns="http://schemas.microsoft.com/office/spreadsheetml/2009/9/main" objectType="Drop" dropStyle="combo" dx="16" fmlaLink="_output!$B$96" fmlaRange="_invoervelden!$D$20:$D$25" noThreeD="1" sel="6" val="0"/>
</file>

<file path=xl/ctrlProps/ctrlProp56.xml><?xml version="1.0" encoding="utf-8"?>
<formControlPr xmlns="http://schemas.microsoft.com/office/spreadsheetml/2009/9/main" objectType="Drop" dropStyle="combo" dx="16" fmlaLink="_output!$B$97" fmlaRange="_invoervelden!$D$20:$D$25" noThreeD="1" sel="6" val="0"/>
</file>

<file path=xl/ctrlProps/ctrlProp57.xml><?xml version="1.0" encoding="utf-8"?>
<formControlPr xmlns="http://schemas.microsoft.com/office/spreadsheetml/2009/9/main" objectType="Drop" dropStyle="combo" dx="16" fmlaLink="_output!$B$101" fmlaRange="_invoervelden!$D$20:$D$25" noThreeD="1" sel="6" val="0"/>
</file>

<file path=xl/drawings/_rels/drawing1.xml.rels><?xml version="1.0" encoding="UTF-8" standalone="yes"?>
<Relationships xmlns="http://schemas.openxmlformats.org/package/2006/relationships"><Relationship Id="rId1" Type="http://schemas.openxmlformats.org/officeDocument/2006/relationships/customXml" Target="../ink/ink1.xml"/><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10583</xdr:rowOff>
    </xdr:from>
    <xdr:to>
      <xdr:col>15</xdr:col>
      <xdr:colOff>10584</xdr:colOff>
      <xdr:row>27</xdr:row>
      <xdr:rowOff>137582</xdr:rowOff>
    </xdr:to>
    <xdr:sp macro="" textlink="">
      <xdr:nvSpPr>
        <xdr:cNvPr id="2" name="Tekstvak 1">
          <a:extLst>
            <a:ext uri="{FF2B5EF4-FFF2-40B4-BE49-F238E27FC236}">
              <a16:creationId xmlns:a16="http://schemas.microsoft.com/office/drawing/2014/main" id="{00000000-0008-0000-0000-000002000000}"/>
            </a:ext>
          </a:extLst>
        </xdr:cNvPr>
        <xdr:cNvSpPr txBox="1"/>
      </xdr:nvSpPr>
      <xdr:spPr>
        <a:xfrm>
          <a:off x="0" y="1418166"/>
          <a:ext cx="13006917" cy="45508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2400" b="1"/>
            <a:t>Toelichting</a:t>
          </a:r>
          <a:endParaRPr lang="nl-NL" sz="1600"/>
        </a:p>
        <a:p>
          <a:pPr marL="0" marR="0" lvl="0" indent="0" defTabSz="914400" eaLnBrk="1" fontAlgn="auto" latinLnBrk="0" hangingPunct="1">
            <a:lnSpc>
              <a:spcPct val="100000"/>
            </a:lnSpc>
            <a:spcBef>
              <a:spcPts val="0"/>
            </a:spcBef>
            <a:spcAft>
              <a:spcPts val="0"/>
            </a:spcAft>
            <a:buClrTx/>
            <a:buSzTx/>
            <a:buFontTx/>
            <a:buNone/>
            <a:tabLst/>
            <a:defRPr/>
          </a:pPr>
          <a:r>
            <a:rPr lang="nl-NL" sz="1600" baseline="0"/>
            <a:t>Het doel van het assessment is om de beelden over hoe een afsprakenstelsel functioneert en daarin de beheerorganisatie bespreekbaar te maken en te komen tot verbeterstappen.</a:t>
          </a:r>
        </a:p>
        <a:p>
          <a:pPr marL="0" marR="0" lvl="0" indent="0" defTabSz="914400" eaLnBrk="1" fontAlgn="auto" latinLnBrk="0" hangingPunct="1">
            <a:lnSpc>
              <a:spcPct val="100000"/>
            </a:lnSpc>
            <a:spcBef>
              <a:spcPts val="0"/>
            </a:spcBef>
            <a:spcAft>
              <a:spcPts val="0"/>
            </a:spcAft>
            <a:buClrTx/>
            <a:buSzTx/>
            <a:buFontTx/>
            <a:buNone/>
            <a:tabLst/>
            <a:defRPr/>
          </a:pPr>
          <a:r>
            <a:rPr lang="nl-NL" sz="1600" i="0" baseline="0"/>
            <a:t>Aan de hand van een aantal vragen gebaseerd op het BOMOS fundament</a:t>
          </a:r>
          <a:r>
            <a:rPr lang="nl-NL" sz="1100" i="0" baseline="0">
              <a:solidFill>
                <a:schemeClr val="dk1"/>
              </a:solidFill>
              <a:effectLst/>
              <a:latin typeface="+mn-lt"/>
              <a:ea typeface="+mn-ea"/>
              <a:cs typeface="+mn-cs"/>
            </a:rPr>
            <a:t> </a:t>
          </a:r>
          <a:r>
            <a:rPr lang="nl-NL" sz="1600" i="0" baseline="0"/>
            <a:t> wordt de 'volwassenheid' van een afprakenstelsel in kaart gebracht. Dit gebeurt met een 5-punts schaal. Hierbij is 5 de hoogste score en daarmee de ambitie om naar te streven. </a:t>
          </a:r>
        </a:p>
        <a:p>
          <a:pPr eaLnBrk="1" fontAlgn="auto" latinLnBrk="0" hangingPunct="1"/>
          <a:r>
            <a:rPr lang="nl-NL" sz="1600" i="0" baseline="0"/>
            <a:t>In het tabblad </a:t>
          </a:r>
          <a:r>
            <a:rPr lang="nl-NL" sz="1600" b="1" i="1" baseline="0"/>
            <a:t>Resultaat</a:t>
          </a:r>
          <a:r>
            <a:rPr lang="nl-NL" sz="1600" b="1" i="0" baseline="0"/>
            <a:t> </a:t>
          </a:r>
          <a:r>
            <a:rPr lang="nl-NL" sz="1600" b="0" i="0" baseline="0"/>
            <a:t>wordt per aspect de score weergegeven. Dit laat zich uiteindelijk vertalen naar een totale score over het volledige BOMOS model heen. (</a:t>
          </a:r>
          <a:r>
            <a:rPr lang="nl-NL" sz="1600" b="0" i="0" baseline="0">
              <a:solidFill>
                <a:schemeClr val="dk1"/>
              </a:solidFill>
              <a:effectLst/>
              <a:latin typeface="+mn-lt"/>
              <a:ea typeface="+mn-ea"/>
              <a:cs typeface="+mn-cs"/>
            </a:rPr>
            <a:t>De sheet is beveiligd om invoerfouten te voorkomen; wil je zelf aanpassingen doen; vul BOMOS in als wachtwoord).</a:t>
          </a:r>
          <a:endParaRPr lang="nl-NL" sz="16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nl-NL" sz="1600" i="0" baseline="0"/>
        </a:p>
        <a:p>
          <a:pPr marL="0" marR="0" lvl="0" indent="0" defTabSz="914400" eaLnBrk="1" fontAlgn="auto" latinLnBrk="0" hangingPunct="1">
            <a:lnSpc>
              <a:spcPct val="100000"/>
            </a:lnSpc>
            <a:spcBef>
              <a:spcPts val="0"/>
            </a:spcBef>
            <a:spcAft>
              <a:spcPts val="0"/>
            </a:spcAft>
            <a:buClrTx/>
            <a:buSzTx/>
            <a:buFontTx/>
            <a:buNone/>
            <a:tabLst/>
            <a:defRPr/>
          </a:pPr>
          <a:r>
            <a:rPr lang="nl-NL" sz="1600" i="0" baseline="0"/>
            <a:t>U wordt gevraagd per vraag uw score voor het betreffende stelsel aan te geven.  De default waarde is '</a:t>
          </a:r>
          <a:r>
            <a:rPr lang="nl-NL" sz="1600" i="1" baseline="0"/>
            <a:t>Niet van toepassing'. </a:t>
          </a:r>
          <a:r>
            <a:rPr lang="nl-NL" sz="1600" i="0" baseline="0"/>
            <a:t>Deze waarde kan je laten staan als je geen kennis of affiniteit hebt met dat onderwerp. Heb je wel een beeld: kies dan een waarde. </a:t>
          </a:r>
        </a:p>
        <a:p>
          <a:pPr marL="0" marR="0" lvl="0" indent="0" defTabSz="914400" eaLnBrk="1" fontAlgn="auto" latinLnBrk="0" hangingPunct="1">
            <a:lnSpc>
              <a:spcPct val="100000"/>
            </a:lnSpc>
            <a:spcBef>
              <a:spcPts val="0"/>
            </a:spcBef>
            <a:spcAft>
              <a:spcPts val="0"/>
            </a:spcAft>
            <a:buClrTx/>
            <a:buSzTx/>
            <a:buFontTx/>
            <a:buNone/>
            <a:tabLst/>
            <a:defRPr/>
          </a:pPr>
          <a:endParaRPr lang="nl-NL" sz="1600" i="0" baseline="0"/>
        </a:p>
        <a:p>
          <a:pPr marL="0" marR="0" lvl="0" indent="0" defTabSz="914400" eaLnBrk="1" fontAlgn="auto" latinLnBrk="0" hangingPunct="1">
            <a:lnSpc>
              <a:spcPct val="100000"/>
            </a:lnSpc>
            <a:spcBef>
              <a:spcPts val="0"/>
            </a:spcBef>
            <a:spcAft>
              <a:spcPts val="0"/>
            </a:spcAft>
            <a:buClrTx/>
            <a:buSzTx/>
            <a:buFontTx/>
            <a:buNone/>
            <a:tabLst/>
            <a:defRPr/>
          </a:pPr>
          <a:r>
            <a:rPr lang="nl-NL" sz="1600" i="0" baseline="0"/>
            <a:t>Vul de kolom "wat kan beter"  in waar mogelijk; dit is vaak de meest waardevolle informatie! Op een klein scherm kan die kolom wegvallen, scroll dan naar rechts.</a:t>
          </a:r>
          <a:endParaRPr lang="nl-NL" sz="1600" i="1" baseline="0"/>
        </a:p>
        <a:p>
          <a:pPr marL="0" marR="0" lvl="0" indent="0" defTabSz="914400" eaLnBrk="1" fontAlgn="auto" latinLnBrk="0" hangingPunct="1">
            <a:lnSpc>
              <a:spcPct val="100000"/>
            </a:lnSpc>
            <a:spcBef>
              <a:spcPts val="0"/>
            </a:spcBef>
            <a:spcAft>
              <a:spcPts val="0"/>
            </a:spcAft>
            <a:buClrTx/>
            <a:buSzTx/>
            <a:buFontTx/>
            <a:buNone/>
            <a:tabLst/>
            <a:defRPr/>
          </a:pPr>
          <a:endParaRPr lang="nl-NL" sz="1600" b="0" i="0" baseline="0"/>
        </a:p>
        <a:p>
          <a:pPr marL="0" marR="0" lvl="0" indent="0" defTabSz="914400" eaLnBrk="1" fontAlgn="auto" latinLnBrk="0" hangingPunct="1">
            <a:lnSpc>
              <a:spcPct val="100000"/>
            </a:lnSpc>
            <a:spcBef>
              <a:spcPts val="0"/>
            </a:spcBef>
            <a:spcAft>
              <a:spcPts val="0"/>
            </a:spcAft>
            <a:buClrTx/>
            <a:buSzTx/>
            <a:buFontTx/>
            <a:buNone/>
            <a:tabLst/>
            <a:defRPr/>
          </a:pPr>
          <a:r>
            <a:rPr lang="nl-NL" sz="1600" b="0" i="0" baseline="0"/>
            <a:t>Meer informatie: zie </a:t>
          </a:r>
          <a:r>
            <a:rPr lang="nl-NL" sz="1600">
              <a:hlinkClick xmlns:r="http://schemas.openxmlformats.org/officeDocument/2006/relationships" r:id=""/>
            </a:rPr>
            <a:t>BOMOS aanvullende modules: Stelsels</a:t>
          </a:r>
          <a:endParaRPr lang="nl-NL" sz="1600" b="0" i="0" baseline="0"/>
        </a:p>
        <a:p>
          <a:pPr marL="0" marR="0" lvl="0" indent="0" defTabSz="914400" eaLnBrk="1" fontAlgn="auto" latinLnBrk="0" hangingPunct="1">
            <a:lnSpc>
              <a:spcPct val="100000"/>
            </a:lnSpc>
            <a:spcBef>
              <a:spcPts val="0"/>
            </a:spcBef>
            <a:spcAft>
              <a:spcPts val="0"/>
            </a:spcAft>
            <a:buClrTx/>
            <a:buSzTx/>
            <a:buFontTx/>
            <a:buNone/>
            <a:tabLst/>
            <a:defRPr/>
          </a:pPr>
          <a:endParaRPr lang="nl-NL" sz="1600"/>
        </a:p>
      </xdr:txBody>
    </xdr:sp>
    <xdr:clientData/>
  </xdr:twoCellAnchor>
  <xdr:twoCellAnchor editAs="oneCell">
    <xdr:from>
      <xdr:col>16</xdr:col>
      <xdr:colOff>482440</xdr:colOff>
      <xdr:row>9</xdr:row>
      <xdr:rowOff>58447</xdr:rowOff>
    </xdr:from>
    <xdr:to>
      <xdr:col>16</xdr:col>
      <xdr:colOff>497200</xdr:colOff>
      <xdr:row>9</xdr:row>
      <xdr:rowOff>63847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 name="Inkt 5">
              <a:extLst>
                <a:ext uri="{FF2B5EF4-FFF2-40B4-BE49-F238E27FC236}">
                  <a16:creationId xmlns:a16="http://schemas.microsoft.com/office/drawing/2014/main" id="{00000000-0008-0000-0000-000006000000}"/>
                </a:ext>
              </a:extLst>
            </xdr14:cNvPr>
            <xdr14:cNvContentPartPr/>
          </xdr14:nvContentPartPr>
          <xdr14:nvPr macro=""/>
          <xdr14:xfrm>
            <a:off x="13690440" y="2069280"/>
            <a:ext cx="14760" cy="5400"/>
          </xdr14:xfrm>
        </xdr:contentPart>
      </mc:Choice>
      <mc:Fallback xmlns="">
        <xdr:pic>
          <xdr:nvPicPr>
            <xdr:cNvPr id="6" name="Inkt 5">
              <a:extLst>
                <a:ext uri="{FF2B5EF4-FFF2-40B4-BE49-F238E27FC236}">
                  <a16:creationId xmlns:a16="http://schemas.microsoft.com/office/drawing/2014/main" id="{DF577A25-E81D-1F42-88A6-54BCB9E411E1}"/>
                </a:ext>
              </a:extLst>
            </xdr:cNvPr>
            <xdr:cNvPicPr/>
          </xdr:nvPicPr>
          <xdr:blipFill>
            <a:blip xmlns:r="http://schemas.openxmlformats.org/officeDocument/2006/relationships" r:embed="rId4"/>
            <a:stretch>
              <a:fillRect/>
            </a:stretch>
          </xdr:blipFill>
          <xdr:spPr>
            <a:xfrm>
              <a:off x="13681800" y="2060280"/>
              <a:ext cx="32400" cy="2304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12700</xdr:colOff>
          <xdr:row>3</xdr:row>
          <xdr:rowOff>12700</xdr:rowOff>
        </xdr:from>
        <xdr:to>
          <xdr:col>4</xdr:col>
          <xdr:colOff>1524000</xdr:colOff>
          <xdr:row>3</xdr:row>
          <xdr:rowOff>203200</xdr:rowOff>
        </xdr:to>
        <xdr:sp macro="" textlink="">
          <xdr:nvSpPr>
            <xdr:cNvPr id="2049" name="Vervolgkeuzelijst 55"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4</xdr:row>
          <xdr:rowOff>38100</xdr:rowOff>
        </xdr:from>
        <xdr:to>
          <xdr:col>4</xdr:col>
          <xdr:colOff>1524000</xdr:colOff>
          <xdr:row>4</xdr:row>
          <xdr:rowOff>228600</xdr:rowOff>
        </xdr:to>
        <xdr:sp macro="" textlink="">
          <xdr:nvSpPr>
            <xdr:cNvPr id="2050" name="Vervolgkeuzelijst 55"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5</xdr:row>
          <xdr:rowOff>38100</xdr:rowOff>
        </xdr:from>
        <xdr:to>
          <xdr:col>4</xdr:col>
          <xdr:colOff>1524000</xdr:colOff>
          <xdr:row>5</xdr:row>
          <xdr:rowOff>228600</xdr:rowOff>
        </xdr:to>
        <xdr:sp macro="" textlink="">
          <xdr:nvSpPr>
            <xdr:cNvPr id="2051" name="Vervolgkeuzelijst 55"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0</xdr:rowOff>
        </xdr:from>
        <xdr:to>
          <xdr:col>4</xdr:col>
          <xdr:colOff>1517650</xdr:colOff>
          <xdr:row>8</xdr:row>
          <xdr:rowOff>190500</xdr:rowOff>
        </xdr:to>
        <xdr:sp macro="" textlink="">
          <xdr:nvSpPr>
            <xdr:cNvPr id="2055" name="Vervolgkeuzelijst 55"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9</xdr:row>
          <xdr:rowOff>38100</xdr:rowOff>
        </xdr:from>
        <xdr:to>
          <xdr:col>4</xdr:col>
          <xdr:colOff>1524000</xdr:colOff>
          <xdr:row>9</xdr:row>
          <xdr:rowOff>228600</xdr:rowOff>
        </xdr:to>
        <xdr:sp macro="" textlink="">
          <xdr:nvSpPr>
            <xdr:cNvPr id="2057" name="Vervolgkeuzelijst 55"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6</xdr:row>
          <xdr:rowOff>0</xdr:rowOff>
        </xdr:from>
        <xdr:to>
          <xdr:col>4</xdr:col>
          <xdr:colOff>1524000</xdr:colOff>
          <xdr:row>6</xdr:row>
          <xdr:rowOff>190500</xdr:rowOff>
        </xdr:to>
        <xdr:sp macro="" textlink="">
          <xdr:nvSpPr>
            <xdr:cNvPr id="2066" name="Drop Down 18" hidden="1">
              <a:extLst>
                <a:ext uri="{63B3BB69-23CF-44E3-9099-C40C66FF867C}">
                  <a14:compatExt spid="_x0000_s2066"/>
                </a:ext>
                <a:ext uri="{FF2B5EF4-FFF2-40B4-BE49-F238E27FC236}">
                  <a16:creationId xmlns:a16="http://schemas.microsoft.com/office/drawing/2014/main" id="{00000000-0008-0000-0100-00001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7</xdr:row>
          <xdr:rowOff>38100</xdr:rowOff>
        </xdr:from>
        <xdr:to>
          <xdr:col>4</xdr:col>
          <xdr:colOff>1524000</xdr:colOff>
          <xdr:row>7</xdr:row>
          <xdr:rowOff>228600</xdr:rowOff>
        </xdr:to>
        <xdr:sp macro="" textlink="">
          <xdr:nvSpPr>
            <xdr:cNvPr id="2068" name="Drop Down 20"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11</xdr:row>
          <xdr:rowOff>38100</xdr:rowOff>
        </xdr:from>
        <xdr:to>
          <xdr:col>4</xdr:col>
          <xdr:colOff>1524000</xdr:colOff>
          <xdr:row>11</xdr:row>
          <xdr:rowOff>228600</xdr:rowOff>
        </xdr:to>
        <xdr:sp macro="" textlink="">
          <xdr:nvSpPr>
            <xdr:cNvPr id="2070" name="Drop Down 22" hidden="1">
              <a:extLst>
                <a:ext uri="{63B3BB69-23CF-44E3-9099-C40C66FF867C}">
                  <a14:compatExt spid="_x0000_s2070"/>
                </a:ext>
                <a:ext uri="{FF2B5EF4-FFF2-40B4-BE49-F238E27FC236}">
                  <a16:creationId xmlns:a16="http://schemas.microsoft.com/office/drawing/2014/main" id="{00000000-0008-0000-0100-00001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19</xdr:row>
          <xdr:rowOff>38100</xdr:rowOff>
        </xdr:from>
        <xdr:to>
          <xdr:col>4</xdr:col>
          <xdr:colOff>1524000</xdr:colOff>
          <xdr:row>19</xdr:row>
          <xdr:rowOff>228600</xdr:rowOff>
        </xdr:to>
        <xdr:sp macro="" textlink="">
          <xdr:nvSpPr>
            <xdr:cNvPr id="2074" name="Drop Down 26"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20</xdr:row>
          <xdr:rowOff>38100</xdr:rowOff>
        </xdr:from>
        <xdr:to>
          <xdr:col>4</xdr:col>
          <xdr:colOff>1524000</xdr:colOff>
          <xdr:row>20</xdr:row>
          <xdr:rowOff>260350</xdr:rowOff>
        </xdr:to>
        <xdr:sp macro="" textlink="">
          <xdr:nvSpPr>
            <xdr:cNvPr id="2075" name="Drop Down 27" hidden="1">
              <a:extLst>
                <a:ext uri="{63B3BB69-23CF-44E3-9099-C40C66FF867C}">
                  <a14:compatExt spid="_x0000_s2075"/>
                </a:ext>
                <a:ext uri="{FF2B5EF4-FFF2-40B4-BE49-F238E27FC236}">
                  <a16:creationId xmlns:a16="http://schemas.microsoft.com/office/drawing/2014/main" id="{00000000-0008-0000-0100-00001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12</xdr:row>
          <xdr:rowOff>38100</xdr:rowOff>
        </xdr:from>
        <xdr:to>
          <xdr:col>4</xdr:col>
          <xdr:colOff>1524000</xdr:colOff>
          <xdr:row>12</xdr:row>
          <xdr:rowOff>228600</xdr:rowOff>
        </xdr:to>
        <xdr:sp macro="" textlink="">
          <xdr:nvSpPr>
            <xdr:cNvPr id="2091" name="Drop Down 43" hidden="1">
              <a:extLst>
                <a:ext uri="{63B3BB69-23CF-44E3-9099-C40C66FF867C}">
                  <a14:compatExt spid="_x0000_s2091"/>
                </a:ext>
                <a:ext uri="{FF2B5EF4-FFF2-40B4-BE49-F238E27FC236}">
                  <a16:creationId xmlns:a16="http://schemas.microsoft.com/office/drawing/2014/main" id="{00000000-0008-0000-0100-00002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13</xdr:row>
          <xdr:rowOff>38100</xdr:rowOff>
        </xdr:from>
        <xdr:to>
          <xdr:col>4</xdr:col>
          <xdr:colOff>1524000</xdr:colOff>
          <xdr:row>13</xdr:row>
          <xdr:rowOff>228600</xdr:rowOff>
        </xdr:to>
        <xdr:sp macro="" textlink="">
          <xdr:nvSpPr>
            <xdr:cNvPr id="2095" name="Drop Down 47" hidden="1">
              <a:extLst>
                <a:ext uri="{63B3BB69-23CF-44E3-9099-C40C66FF867C}">
                  <a14:compatExt spid="_x0000_s2095"/>
                </a:ext>
                <a:ext uri="{FF2B5EF4-FFF2-40B4-BE49-F238E27FC236}">
                  <a16:creationId xmlns:a16="http://schemas.microsoft.com/office/drawing/2014/main" id="{00000000-0008-0000-0100-00002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21</xdr:row>
          <xdr:rowOff>38100</xdr:rowOff>
        </xdr:from>
        <xdr:to>
          <xdr:col>4</xdr:col>
          <xdr:colOff>1524000</xdr:colOff>
          <xdr:row>21</xdr:row>
          <xdr:rowOff>260350</xdr:rowOff>
        </xdr:to>
        <xdr:sp macro="" textlink="">
          <xdr:nvSpPr>
            <xdr:cNvPr id="2097" name="Drop Down 49" hidden="1">
              <a:extLst>
                <a:ext uri="{63B3BB69-23CF-44E3-9099-C40C66FF867C}">
                  <a14:compatExt spid="_x0000_s2097"/>
                </a:ext>
                <a:ext uri="{FF2B5EF4-FFF2-40B4-BE49-F238E27FC236}">
                  <a16:creationId xmlns:a16="http://schemas.microsoft.com/office/drawing/2014/main" id="{00000000-0008-0000-0100-00003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23</xdr:row>
          <xdr:rowOff>38100</xdr:rowOff>
        </xdr:from>
        <xdr:to>
          <xdr:col>4</xdr:col>
          <xdr:colOff>1524000</xdr:colOff>
          <xdr:row>23</xdr:row>
          <xdr:rowOff>260350</xdr:rowOff>
        </xdr:to>
        <xdr:sp macro="" textlink="">
          <xdr:nvSpPr>
            <xdr:cNvPr id="2099" name="Drop Down 51" hidden="1">
              <a:extLst>
                <a:ext uri="{63B3BB69-23CF-44E3-9099-C40C66FF867C}">
                  <a14:compatExt spid="_x0000_s2099"/>
                </a:ext>
                <a:ext uri="{FF2B5EF4-FFF2-40B4-BE49-F238E27FC236}">
                  <a16:creationId xmlns:a16="http://schemas.microsoft.com/office/drawing/2014/main" id="{00000000-0008-0000-0100-00003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24</xdr:row>
          <xdr:rowOff>38100</xdr:rowOff>
        </xdr:from>
        <xdr:to>
          <xdr:col>4</xdr:col>
          <xdr:colOff>1524000</xdr:colOff>
          <xdr:row>24</xdr:row>
          <xdr:rowOff>260350</xdr:rowOff>
        </xdr:to>
        <xdr:sp macro="" textlink="">
          <xdr:nvSpPr>
            <xdr:cNvPr id="2100" name="Drop Down 52" hidden="1">
              <a:extLst>
                <a:ext uri="{63B3BB69-23CF-44E3-9099-C40C66FF867C}">
                  <a14:compatExt spid="_x0000_s2100"/>
                </a:ext>
                <a:ext uri="{FF2B5EF4-FFF2-40B4-BE49-F238E27FC236}">
                  <a16:creationId xmlns:a16="http://schemas.microsoft.com/office/drawing/2014/main" id="{00000000-0008-0000-0100-00003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25</xdr:row>
          <xdr:rowOff>38100</xdr:rowOff>
        </xdr:from>
        <xdr:to>
          <xdr:col>4</xdr:col>
          <xdr:colOff>1524000</xdr:colOff>
          <xdr:row>25</xdr:row>
          <xdr:rowOff>279400</xdr:rowOff>
        </xdr:to>
        <xdr:sp macro="" textlink="">
          <xdr:nvSpPr>
            <xdr:cNvPr id="2102" name="Drop Down 54" hidden="1">
              <a:extLst>
                <a:ext uri="{63B3BB69-23CF-44E3-9099-C40C66FF867C}">
                  <a14:compatExt spid="_x0000_s2102"/>
                </a:ext>
                <a:ext uri="{FF2B5EF4-FFF2-40B4-BE49-F238E27FC236}">
                  <a16:creationId xmlns:a16="http://schemas.microsoft.com/office/drawing/2014/main" id="{00000000-0008-0000-0100-00003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38100</xdr:rowOff>
        </xdr:from>
        <xdr:to>
          <xdr:col>4</xdr:col>
          <xdr:colOff>1524000</xdr:colOff>
          <xdr:row>16</xdr:row>
          <xdr:rowOff>228600</xdr:rowOff>
        </xdr:to>
        <xdr:sp macro="" textlink="">
          <xdr:nvSpPr>
            <xdr:cNvPr id="2103" name="Drop Down 55" hidden="1">
              <a:extLst>
                <a:ext uri="{63B3BB69-23CF-44E3-9099-C40C66FF867C}">
                  <a14:compatExt spid="_x0000_s2103"/>
                </a:ext>
                <a:ext uri="{FF2B5EF4-FFF2-40B4-BE49-F238E27FC236}">
                  <a16:creationId xmlns:a16="http://schemas.microsoft.com/office/drawing/2014/main" id="{00000000-0008-0000-0100-00003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17</xdr:row>
          <xdr:rowOff>38100</xdr:rowOff>
        </xdr:from>
        <xdr:to>
          <xdr:col>4</xdr:col>
          <xdr:colOff>1524000</xdr:colOff>
          <xdr:row>17</xdr:row>
          <xdr:rowOff>260350</xdr:rowOff>
        </xdr:to>
        <xdr:sp macro="" textlink="">
          <xdr:nvSpPr>
            <xdr:cNvPr id="2104" name="Drop Down 56" hidden="1">
              <a:extLst>
                <a:ext uri="{63B3BB69-23CF-44E3-9099-C40C66FF867C}">
                  <a14:compatExt spid="_x0000_s2104"/>
                </a:ext>
                <a:ext uri="{FF2B5EF4-FFF2-40B4-BE49-F238E27FC236}">
                  <a16:creationId xmlns:a16="http://schemas.microsoft.com/office/drawing/2014/main" id="{00000000-0008-0000-0100-000038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15</xdr:row>
          <xdr:rowOff>38100</xdr:rowOff>
        </xdr:from>
        <xdr:to>
          <xdr:col>4</xdr:col>
          <xdr:colOff>1524000</xdr:colOff>
          <xdr:row>15</xdr:row>
          <xdr:rowOff>209550</xdr:rowOff>
        </xdr:to>
        <xdr:sp macro="" textlink="">
          <xdr:nvSpPr>
            <xdr:cNvPr id="2105" name="Drop Down 57" hidden="1">
              <a:extLst>
                <a:ext uri="{63B3BB69-23CF-44E3-9099-C40C66FF867C}">
                  <a14:compatExt spid="_x0000_s2105"/>
                </a:ext>
                <a:ext uri="{FF2B5EF4-FFF2-40B4-BE49-F238E27FC236}">
                  <a16:creationId xmlns:a16="http://schemas.microsoft.com/office/drawing/2014/main" id="{00000000-0008-0000-0100-00003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12700</xdr:colOff>
          <xdr:row>4</xdr:row>
          <xdr:rowOff>38100</xdr:rowOff>
        </xdr:from>
        <xdr:to>
          <xdr:col>4</xdr:col>
          <xdr:colOff>1536700</xdr:colOff>
          <xdr:row>4</xdr:row>
          <xdr:rowOff>228600</xdr:rowOff>
        </xdr:to>
        <xdr:sp macro="" textlink="">
          <xdr:nvSpPr>
            <xdr:cNvPr id="4099" name="Vervolgkeuzelijst 55"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xdr:row>
          <xdr:rowOff>12700</xdr:rowOff>
        </xdr:from>
        <xdr:to>
          <xdr:col>6</xdr:col>
          <xdr:colOff>0</xdr:colOff>
          <xdr:row>5</xdr:row>
          <xdr:rowOff>228600</xdr:rowOff>
        </xdr:to>
        <xdr:sp macro="" textlink="">
          <xdr:nvSpPr>
            <xdr:cNvPr id="4100" name="Vervolgkeuzelijst 55" hidden="1">
              <a:extLst>
                <a:ext uri="{63B3BB69-23CF-44E3-9099-C40C66FF867C}">
                  <a14:compatExt spid="_x0000_s4100"/>
                </a:ext>
                <a:ext uri="{FF2B5EF4-FFF2-40B4-BE49-F238E27FC236}">
                  <a16:creationId xmlns:a16="http://schemas.microsoft.com/office/drawing/2014/main" id="{00000000-0008-0000-02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12700</xdr:rowOff>
        </xdr:from>
        <xdr:to>
          <xdr:col>4</xdr:col>
          <xdr:colOff>1524000</xdr:colOff>
          <xdr:row>7</xdr:row>
          <xdr:rowOff>228600</xdr:rowOff>
        </xdr:to>
        <xdr:sp macro="" textlink="">
          <xdr:nvSpPr>
            <xdr:cNvPr id="4102" name="Vervolgkeuzelijst 55" hidden="1">
              <a:extLst>
                <a:ext uri="{63B3BB69-23CF-44E3-9099-C40C66FF867C}">
                  <a14:compatExt spid="_x0000_s4102"/>
                </a:ext>
                <a:ext uri="{FF2B5EF4-FFF2-40B4-BE49-F238E27FC236}">
                  <a16:creationId xmlns:a16="http://schemas.microsoft.com/office/drawing/2014/main" id="{00000000-0008-0000-02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12700</xdr:rowOff>
        </xdr:from>
        <xdr:to>
          <xdr:col>4</xdr:col>
          <xdr:colOff>1524000</xdr:colOff>
          <xdr:row>9</xdr:row>
          <xdr:rowOff>228600</xdr:rowOff>
        </xdr:to>
        <xdr:sp macro="" textlink="">
          <xdr:nvSpPr>
            <xdr:cNvPr id="4105" name="Vervolgkeuzelijst 55" hidden="1">
              <a:extLst>
                <a:ext uri="{63B3BB69-23CF-44E3-9099-C40C66FF867C}">
                  <a14:compatExt spid="_x0000_s4105"/>
                </a:ext>
                <a:ext uri="{FF2B5EF4-FFF2-40B4-BE49-F238E27FC236}">
                  <a16:creationId xmlns:a16="http://schemas.microsoft.com/office/drawing/2014/main" id="{00000000-0008-0000-02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11</xdr:row>
          <xdr:rowOff>88900</xdr:rowOff>
        </xdr:from>
        <xdr:to>
          <xdr:col>4</xdr:col>
          <xdr:colOff>1524000</xdr:colOff>
          <xdr:row>11</xdr:row>
          <xdr:rowOff>304800</xdr:rowOff>
        </xdr:to>
        <xdr:sp macro="" textlink="">
          <xdr:nvSpPr>
            <xdr:cNvPr id="4107" name="Vervolgkeuzelijst 55" hidden="1">
              <a:extLst>
                <a:ext uri="{63B3BB69-23CF-44E3-9099-C40C66FF867C}">
                  <a14:compatExt spid="_x0000_s4107"/>
                </a:ext>
                <a:ext uri="{FF2B5EF4-FFF2-40B4-BE49-F238E27FC236}">
                  <a16:creationId xmlns:a16="http://schemas.microsoft.com/office/drawing/2014/main" id="{00000000-0008-0000-02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12</xdr:row>
          <xdr:rowOff>88900</xdr:rowOff>
        </xdr:from>
        <xdr:to>
          <xdr:col>4</xdr:col>
          <xdr:colOff>1524000</xdr:colOff>
          <xdr:row>12</xdr:row>
          <xdr:rowOff>304800</xdr:rowOff>
        </xdr:to>
        <xdr:sp macro="" textlink="">
          <xdr:nvSpPr>
            <xdr:cNvPr id="4108" name="Vervolgkeuzelijst 55" hidden="1">
              <a:extLst>
                <a:ext uri="{63B3BB69-23CF-44E3-9099-C40C66FF867C}">
                  <a14:compatExt spid="_x0000_s4108"/>
                </a:ext>
                <a:ext uri="{FF2B5EF4-FFF2-40B4-BE49-F238E27FC236}">
                  <a16:creationId xmlns:a16="http://schemas.microsoft.com/office/drawing/2014/main" id="{00000000-0008-0000-02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13</xdr:row>
          <xdr:rowOff>88900</xdr:rowOff>
        </xdr:from>
        <xdr:to>
          <xdr:col>4</xdr:col>
          <xdr:colOff>1524000</xdr:colOff>
          <xdr:row>13</xdr:row>
          <xdr:rowOff>304800</xdr:rowOff>
        </xdr:to>
        <xdr:sp macro="" textlink="">
          <xdr:nvSpPr>
            <xdr:cNvPr id="4109" name="Vervolgkeuzelijst 55" hidden="1">
              <a:extLst>
                <a:ext uri="{63B3BB69-23CF-44E3-9099-C40C66FF867C}">
                  <a14:compatExt spid="_x0000_s4109"/>
                </a:ext>
                <a:ext uri="{FF2B5EF4-FFF2-40B4-BE49-F238E27FC236}">
                  <a16:creationId xmlns:a16="http://schemas.microsoft.com/office/drawing/2014/main" id="{00000000-0008-0000-02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12700</xdr:rowOff>
        </xdr:from>
        <xdr:to>
          <xdr:col>4</xdr:col>
          <xdr:colOff>1524000</xdr:colOff>
          <xdr:row>15</xdr:row>
          <xdr:rowOff>228600</xdr:rowOff>
        </xdr:to>
        <xdr:sp macro="" textlink="">
          <xdr:nvSpPr>
            <xdr:cNvPr id="4118" name="Vervolgkeuzelijst 55" hidden="1">
              <a:extLst>
                <a:ext uri="{63B3BB69-23CF-44E3-9099-C40C66FF867C}">
                  <a14:compatExt spid="_x0000_s4118"/>
                </a:ext>
                <a:ext uri="{FF2B5EF4-FFF2-40B4-BE49-F238E27FC236}">
                  <a16:creationId xmlns:a16="http://schemas.microsoft.com/office/drawing/2014/main" id="{00000000-0008-0000-02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xdr:row>
          <xdr:rowOff>0</xdr:rowOff>
        </xdr:from>
        <xdr:to>
          <xdr:col>6</xdr:col>
          <xdr:colOff>0</xdr:colOff>
          <xdr:row>3</xdr:row>
          <xdr:rowOff>203200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2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xdr:row>
          <xdr:rowOff>12700</xdr:rowOff>
        </xdr:from>
        <xdr:to>
          <xdr:col>4</xdr:col>
          <xdr:colOff>1524000</xdr:colOff>
          <xdr:row>17</xdr:row>
          <xdr:rowOff>228600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2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18</xdr:row>
          <xdr:rowOff>12700</xdr:rowOff>
        </xdr:from>
        <xdr:to>
          <xdr:col>4</xdr:col>
          <xdr:colOff>1524000</xdr:colOff>
          <xdr:row>18</xdr:row>
          <xdr:rowOff>228600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2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19</xdr:row>
          <xdr:rowOff>12700</xdr:rowOff>
        </xdr:from>
        <xdr:to>
          <xdr:col>4</xdr:col>
          <xdr:colOff>1524000</xdr:colOff>
          <xdr:row>19</xdr:row>
          <xdr:rowOff>228600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2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4089400</xdr:colOff>
          <xdr:row>8</xdr:row>
          <xdr:rowOff>31750</xdr:rowOff>
        </xdr:from>
        <xdr:to>
          <xdr:col>5</xdr:col>
          <xdr:colOff>0</xdr:colOff>
          <xdr:row>8</xdr:row>
          <xdr:rowOff>285750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2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4</xdr:row>
          <xdr:rowOff>114300</xdr:rowOff>
        </xdr:from>
        <xdr:to>
          <xdr:col>6</xdr:col>
          <xdr:colOff>12700</xdr:colOff>
          <xdr:row>4</xdr:row>
          <xdr:rowOff>317500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3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6229350</xdr:colOff>
          <xdr:row>7</xdr:row>
          <xdr:rowOff>57150</xdr:rowOff>
        </xdr:from>
        <xdr:to>
          <xdr:col>4</xdr:col>
          <xdr:colOff>1504950</xdr:colOff>
          <xdr:row>7</xdr:row>
          <xdr:rowOff>266700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3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6248400</xdr:colOff>
          <xdr:row>11</xdr:row>
          <xdr:rowOff>0</xdr:rowOff>
        </xdr:from>
        <xdr:to>
          <xdr:col>4</xdr:col>
          <xdr:colOff>1517650</xdr:colOff>
          <xdr:row>11</xdr:row>
          <xdr:rowOff>203200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3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6242050</xdr:colOff>
          <xdr:row>13</xdr:row>
          <xdr:rowOff>12700</xdr:rowOff>
        </xdr:from>
        <xdr:to>
          <xdr:col>6</xdr:col>
          <xdr:colOff>50800</xdr:colOff>
          <xdr:row>13</xdr:row>
          <xdr:rowOff>260350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3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57150</xdr:rowOff>
        </xdr:from>
        <xdr:to>
          <xdr:col>5</xdr:col>
          <xdr:colOff>12700</xdr:colOff>
          <xdr:row>15</xdr:row>
          <xdr:rowOff>260350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3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6248400</xdr:colOff>
          <xdr:row>5</xdr:row>
          <xdr:rowOff>31750</xdr:rowOff>
        </xdr:from>
        <xdr:to>
          <xdr:col>4</xdr:col>
          <xdr:colOff>1504950</xdr:colOff>
          <xdr:row>5</xdr:row>
          <xdr:rowOff>260350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3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114300</xdr:rowOff>
        </xdr:from>
        <xdr:to>
          <xdr:col>6</xdr:col>
          <xdr:colOff>12700</xdr:colOff>
          <xdr:row>8</xdr:row>
          <xdr:rowOff>317500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3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6248400</xdr:colOff>
          <xdr:row>9</xdr:row>
          <xdr:rowOff>95250</xdr:rowOff>
        </xdr:from>
        <xdr:to>
          <xdr:col>5</xdr:col>
          <xdr:colOff>12700</xdr:colOff>
          <xdr:row>9</xdr:row>
          <xdr:rowOff>298450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3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14</xdr:row>
          <xdr:rowOff>0</xdr:rowOff>
        </xdr:from>
        <xdr:to>
          <xdr:col>6</xdr:col>
          <xdr:colOff>0</xdr:colOff>
          <xdr:row>14</xdr:row>
          <xdr:rowOff>203200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3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12700</xdr:colOff>
          <xdr:row>3</xdr:row>
          <xdr:rowOff>12700</xdr:rowOff>
        </xdr:from>
        <xdr:to>
          <xdr:col>6</xdr:col>
          <xdr:colOff>0</xdr:colOff>
          <xdr:row>3</xdr:row>
          <xdr:rowOff>222250</xdr:rowOff>
        </xdr:to>
        <xdr:sp macro="" textlink="">
          <xdr:nvSpPr>
            <xdr:cNvPr id="7171" name="Drop Down 3" hidden="1">
              <a:extLst>
                <a:ext uri="{63B3BB69-23CF-44E3-9099-C40C66FF867C}">
                  <a14:compatExt spid="_x0000_s7171"/>
                </a:ext>
                <a:ext uri="{FF2B5EF4-FFF2-40B4-BE49-F238E27FC236}">
                  <a16:creationId xmlns:a16="http://schemas.microsoft.com/office/drawing/2014/main" id="{00000000-0008-0000-0400-000003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5</xdr:row>
          <xdr:rowOff>12700</xdr:rowOff>
        </xdr:from>
        <xdr:to>
          <xdr:col>6</xdr:col>
          <xdr:colOff>0</xdr:colOff>
          <xdr:row>5</xdr:row>
          <xdr:rowOff>222250</xdr:rowOff>
        </xdr:to>
        <xdr:sp macro="" textlink="">
          <xdr:nvSpPr>
            <xdr:cNvPr id="7173" name="Drop Down 5" hidden="1">
              <a:extLst>
                <a:ext uri="{63B3BB69-23CF-44E3-9099-C40C66FF867C}">
                  <a14:compatExt spid="_x0000_s7173"/>
                </a:ext>
                <a:ext uri="{FF2B5EF4-FFF2-40B4-BE49-F238E27FC236}">
                  <a16:creationId xmlns:a16="http://schemas.microsoft.com/office/drawing/2014/main" id="{00000000-0008-0000-0400-000005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5581650</xdr:colOff>
          <xdr:row>8</xdr:row>
          <xdr:rowOff>12700</xdr:rowOff>
        </xdr:from>
        <xdr:to>
          <xdr:col>5</xdr:col>
          <xdr:colOff>0</xdr:colOff>
          <xdr:row>8</xdr:row>
          <xdr:rowOff>266700</xdr:rowOff>
        </xdr:to>
        <xdr:sp macro="" textlink="">
          <xdr:nvSpPr>
            <xdr:cNvPr id="7177" name="Drop Down 9" hidden="1">
              <a:extLst>
                <a:ext uri="{63B3BB69-23CF-44E3-9099-C40C66FF867C}">
                  <a14:compatExt spid="_x0000_s7177"/>
                </a:ext>
                <a:ext uri="{FF2B5EF4-FFF2-40B4-BE49-F238E27FC236}">
                  <a16:creationId xmlns:a16="http://schemas.microsoft.com/office/drawing/2014/main" id="{00000000-0008-0000-0400-000009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10</xdr:row>
          <xdr:rowOff>12700</xdr:rowOff>
        </xdr:from>
        <xdr:to>
          <xdr:col>6</xdr:col>
          <xdr:colOff>0</xdr:colOff>
          <xdr:row>10</xdr:row>
          <xdr:rowOff>222250</xdr:rowOff>
        </xdr:to>
        <xdr:sp macro="" textlink="">
          <xdr:nvSpPr>
            <xdr:cNvPr id="7178" name="Drop Down 10" hidden="1">
              <a:extLst>
                <a:ext uri="{63B3BB69-23CF-44E3-9099-C40C66FF867C}">
                  <a14:compatExt spid="_x0000_s7178"/>
                </a:ext>
                <a:ext uri="{FF2B5EF4-FFF2-40B4-BE49-F238E27FC236}">
                  <a16:creationId xmlns:a16="http://schemas.microsoft.com/office/drawing/2014/main" id="{00000000-0008-0000-0400-00000A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11</xdr:row>
          <xdr:rowOff>12700</xdr:rowOff>
        </xdr:from>
        <xdr:to>
          <xdr:col>6</xdr:col>
          <xdr:colOff>0</xdr:colOff>
          <xdr:row>11</xdr:row>
          <xdr:rowOff>222250</xdr:rowOff>
        </xdr:to>
        <xdr:sp macro="" textlink="">
          <xdr:nvSpPr>
            <xdr:cNvPr id="7179" name="Drop Down 11" hidden="1">
              <a:extLst>
                <a:ext uri="{63B3BB69-23CF-44E3-9099-C40C66FF867C}">
                  <a14:compatExt spid="_x0000_s7179"/>
                </a:ext>
                <a:ext uri="{FF2B5EF4-FFF2-40B4-BE49-F238E27FC236}">
                  <a16:creationId xmlns:a16="http://schemas.microsoft.com/office/drawing/2014/main" id="{00000000-0008-0000-0400-00000B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13</xdr:row>
          <xdr:rowOff>12700</xdr:rowOff>
        </xdr:from>
        <xdr:to>
          <xdr:col>6</xdr:col>
          <xdr:colOff>0</xdr:colOff>
          <xdr:row>13</xdr:row>
          <xdr:rowOff>222250</xdr:rowOff>
        </xdr:to>
        <xdr:sp macro="" textlink="">
          <xdr:nvSpPr>
            <xdr:cNvPr id="7180" name="Drop Down 12" hidden="1">
              <a:extLst>
                <a:ext uri="{63B3BB69-23CF-44E3-9099-C40C66FF867C}">
                  <a14:compatExt spid="_x0000_s7180"/>
                </a:ext>
                <a:ext uri="{FF2B5EF4-FFF2-40B4-BE49-F238E27FC236}">
                  <a16:creationId xmlns:a16="http://schemas.microsoft.com/office/drawing/2014/main" id="{00000000-0008-0000-0400-00000C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14</xdr:row>
          <xdr:rowOff>12700</xdr:rowOff>
        </xdr:from>
        <xdr:to>
          <xdr:col>6</xdr:col>
          <xdr:colOff>0</xdr:colOff>
          <xdr:row>14</xdr:row>
          <xdr:rowOff>222250</xdr:rowOff>
        </xdr:to>
        <xdr:sp macro="" textlink="">
          <xdr:nvSpPr>
            <xdr:cNvPr id="7181" name="Drop Down 13" hidden="1">
              <a:extLst>
                <a:ext uri="{63B3BB69-23CF-44E3-9099-C40C66FF867C}">
                  <a14:compatExt spid="_x0000_s7181"/>
                </a:ext>
                <a:ext uri="{FF2B5EF4-FFF2-40B4-BE49-F238E27FC236}">
                  <a16:creationId xmlns:a16="http://schemas.microsoft.com/office/drawing/2014/main" id="{00000000-0008-0000-0400-00000D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6</xdr:row>
          <xdr:rowOff>12700</xdr:rowOff>
        </xdr:from>
        <xdr:to>
          <xdr:col>6</xdr:col>
          <xdr:colOff>0</xdr:colOff>
          <xdr:row>6</xdr:row>
          <xdr:rowOff>222250</xdr:rowOff>
        </xdr:to>
        <xdr:sp macro="" textlink="">
          <xdr:nvSpPr>
            <xdr:cNvPr id="7182" name="Drop Down 14" hidden="1">
              <a:extLst>
                <a:ext uri="{63B3BB69-23CF-44E3-9099-C40C66FF867C}">
                  <a14:compatExt spid="_x0000_s7182"/>
                </a:ext>
                <a:ext uri="{FF2B5EF4-FFF2-40B4-BE49-F238E27FC236}">
                  <a16:creationId xmlns:a16="http://schemas.microsoft.com/office/drawing/2014/main" id="{00000000-0008-0000-0400-00000E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12700</xdr:colOff>
          <xdr:row>2</xdr:row>
          <xdr:rowOff>12700</xdr:rowOff>
        </xdr:from>
        <xdr:to>
          <xdr:col>4</xdr:col>
          <xdr:colOff>1536700</xdr:colOff>
          <xdr:row>2</xdr:row>
          <xdr:rowOff>222250</xdr:rowOff>
        </xdr:to>
        <xdr:sp macro="" textlink="">
          <xdr:nvSpPr>
            <xdr:cNvPr id="8195" name="Drop Down 3"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10</xdr:row>
          <xdr:rowOff>12700</xdr:rowOff>
        </xdr:from>
        <xdr:to>
          <xdr:col>4</xdr:col>
          <xdr:colOff>1536700</xdr:colOff>
          <xdr:row>10</xdr:row>
          <xdr:rowOff>222250</xdr:rowOff>
        </xdr:to>
        <xdr:sp macro="" textlink="">
          <xdr:nvSpPr>
            <xdr:cNvPr id="8198" name="Drop Down 6"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3</xdr:row>
          <xdr:rowOff>12700</xdr:rowOff>
        </xdr:from>
        <xdr:to>
          <xdr:col>4</xdr:col>
          <xdr:colOff>1536700</xdr:colOff>
          <xdr:row>3</xdr:row>
          <xdr:rowOff>222250</xdr:rowOff>
        </xdr:to>
        <xdr:sp macro="" textlink="">
          <xdr:nvSpPr>
            <xdr:cNvPr id="8203" name="Drop Down 11"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4</xdr:row>
          <xdr:rowOff>12700</xdr:rowOff>
        </xdr:from>
        <xdr:to>
          <xdr:col>4</xdr:col>
          <xdr:colOff>1536700</xdr:colOff>
          <xdr:row>4</xdr:row>
          <xdr:rowOff>222250</xdr:rowOff>
        </xdr:to>
        <xdr:sp macro="" textlink="">
          <xdr:nvSpPr>
            <xdr:cNvPr id="8207" name="Drop Down 15" hidden="1">
              <a:extLst>
                <a:ext uri="{63B3BB69-23CF-44E3-9099-C40C66FF867C}">
                  <a14:compatExt spid="_x0000_s8207"/>
                </a:ext>
                <a:ext uri="{FF2B5EF4-FFF2-40B4-BE49-F238E27FC236}">
                  <a16:creationId xmlns:a16="http://schemas.microsoft.com/office/drawing/2014/main" id="{00000000-0008-0000-0500-00000F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5080000</xdr:colOff>
          <xdr:row>6</xdr:row>
          <xdr:rowOff>57150</xdr:rowOff>
        </xdr:from>
        <xdr:to>
          <xdr:col>4</xdr:col>
          <xdr:colOff>1524000</xdr:colOff>
          <xdr:row>6</xdr:row>
          <xdr:rowOff>266700</xdr:rowOff>
        </xdr:to>
        <xdr:sp macro="" textlink="">
          <xdr:nvSpPr>
            <xdr:cNvPr id="8209" name="Drop Down 17" hidden="1">
              <a:extLst>
                <a:ext uri="{63B3BB69-23CF-44E3-9099-C40C66FF867C}">
                  <a14:compatExt spid="_x0000_s8209"/>
                </a:ext>
                <a:ext uri="{FF2B5EF4-FFF2-40B4-BE49-F238E27FC236}">
                  <a16:creationId xmlns:a16="http://schemas.microsoft.com/office/drawing/2014/main" id="{00000000-0008-0000-0500-00001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31750</xdr:colOff>
          <xdr:row>7</xdr:row>
          <xdr:rowOff>31750</xdr:rowOff>
        </xdr:from>
        <xdr:to>
          <xdr:col>5</xdr:col>
          <xdr:colOff>0</xdr:colOff>
          <xdr:row>7</xdr:row>
          <xdr:rowOff>247650</xdr:rowOff>
        </xdr:to>
        <xdr:sp macro="" textlink="">
          <xdr:nvSpPr>
            <xdr:cNvPr id="8211" name="Drop Down 19" hidden="1">
              <a:extLst>
                <a:ext uri="{63B3BB69-23CF-44E3-9099-C40C66FF867C}">
                  <a14:compatExt spid="_x0000_s8211"/>
                </a:ext>
                <a:ext uri="{FF2B5EF4-FFF2-40B4-BE49-F238E27FC236}">
                  <a16:creationId xmlns:a16="http://schemas.microsoft.com/office/drawing/2014/main" id="{00000000-0008-0000-0500-000013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50800</xdr:colOff>
          <xdr:row>8</xdr:row>
          <xdr:rowOff>31750</xdr:rowOff>
        </xdr:from>
        <xdr:to>
          <xdr:col>6</xdr:col>
          <xdr:colOff>19050</xdr:colOff>
          <xdr:row>8</xdr:row>
          <xdr:rowOff>241300</xdr:rowOff>
        </xdr:to>
        <xdr:sp macro="" textlink="">
          <xdr:nvSpPr>
            <xdr:cNvPr id="8214" name="Drop Down 22" hidden="1">
              <a:extLst>
                <a:ext uri="{63B3BB69-23CF-44E3-9099-C40C66FF867C}">
                  <a14:compatExt spid="_x0000_s8214"/>
                </a:ext>
                <a:ext uri="{FF2B5EF4-FFF2-40B4-BE49-F238E27FC236}">
                  <a16:creationId xmlns:a16="http://schemas.microsoft.com/office/drawing/2014/main" id="{00000000-0008-0000-0500-000016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5067300</xdr:colOff>
          <xdr:row>11</xdr:row>
          <xdr:rowOff>12700</xdr:rowOff>
        </xdr:from>
        <xdr:to>
          <xdr:col>4</xdr:col>
          <xdr:colOff>1536700</xdr:colOff>
          <xdr:row>11</xdr:row>
          <xdr:rowOff>209550</xdr:rowOff>
        </xdr:to>
        <xdr:sp macro="" textlink="">
          <xdr:nvSpPr>
            <xdr:cNvPr id="8216" name="Drop Down 24" hidden="1">
              <a:extLst>
                <a:ext uri="{63B3BB69-23CF-44E3-9099-C40C66FF867C}">
                  <a14:compatExt spid="_x0000_s8216"/>
                </a:ext>
                <a:ext uri="{FF2B5EF4-FFF2-40B4-BE49-F238E27FC236}">
                  <a16:creationId xmlns:a16="http://schemas.microsoft.com/office/drawing/2014/main" id="{00000000-0008-0000-0500-000018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6</xdr:col>
      <xdr:colOff>1098652</xdr:colOff>
      <xdr:row>2</xdr:row>
      <xdr:rowOff>478609</xdr:rowOff>
    </xdr:from>
    <xdr:to>
      <xdr:col>6</xdr:col>
      <xdr:colOff>6712858</xdr:colOff>
      <xdr:row>9</xdr:row>
      <xdr:rowOff>141111</xdr:rowOff>
    </xdr:to>
    <xdr:graphicFrame macro="">
      <xdr:nvGraphicFramePr>
        <xdr:cNvPr id="2" name="Chart 4">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1144210</xdr:colOff>
      <xdr:row>10</xdr:row>
      <xdr:rowOff>288876</xdr:rowOff>
    </xdr:from>
    <xdr:to>
      <xdr:col>6</xdr:col>
      <xdr:colOff>6022623</xdr:colOff>
      <xdr:row>17</xdr:row>
      <xdr:rowOff>372736</xdr:rowOff>
    </xdr:to>
    <xdr:graphicFrame macro="">
      <xdr:nvGraphicFramePr>
        <xdr:cNvPr id="5" name="Chart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1119011</xdr:colOff>
      <xdr:row>18</xdr:row>
      <xdr:rowOff>0</xdr:rowOff>
    </xdr:from>
    <xdr:to>
      <xdr:col>6</xdr:col>
      <xdr:colOff>6578600</xdr:colOff>
      <xdr:row>25</xdr:row>
      <xdr:rowOff>22779</xdr:rowOff>
    </xdr:to>
    <xdr:graphicFrame macro="">
      <xdr:nvGraphicFramePr>
        <xdr:cNvPr id="6" name="Chart 4">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1143000</xdr:colOff>
      <xdr:row>26</xdr:row>
      <xdr:rowOff>127000</xdr:rowOff>
    </xdr:from>
    <xdr:to>
      <xdr:col>6</xdr:col>
      <xdr:colOff>6540500</xdr:colOff>
      <xdr:row>32</xdr:row>
      <xdr:rowOff>279400</xdr:rowOff>
    </xdr:to>
    <xdr:graphicFrame macro="">
      <xdr:nvGraphicFramePr>
        <xdr:cNvPr id="7" name="Chart 4">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114300</xdr:colOff>
      <xdr:row>33</xdr:row>
      <xdr:rowOff>304800</xdr:rowOff>
    </xdr:from>
    <xdr:to>
      <xdr:col>7</xdr:col>
      <xdr:colOff>12700</xdr:colOff>
      <xdr:row>42</xdr:row>
      <xdr:rowOff>88900</xdr:rowOff>
    </xdr:to>
    <xdr:graphicFrame macro="">
      <xdr:nvGraphicFramePr>
        <xdr:cNvPr id="8" name="Chart 4">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4</xdr:row>
      <xdr:rowOff>139700</xdr:rowOff>
    </xdr:from>
    <xdr:to>
      <xdr:col>20</xdr:col>
      <xdr:colOff>736600</xdr:colOff>
      <xdr:row>19</xdr:row>
      <xdr:rowOff>419100</xdr:rowOff>
    </xdr:to>
    <xdr:graphicFrame macro="">
      <xdr:nvGraphicFramePr>
        <xdr:cNvPr id="9" name="Chart 4">
          <a:extLst>
            <a:ext uri="{FF2B5EF4-FFF2-40B4-BE49-F238E27FC236}">
              <a16:creationId xmlns:a16="http://schemas.microsoft.com/office/drawing/2014/main" id="{00000000-0008-0000-0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121557</xdr:colOff>
      <xdr:row>0</xdr:row>
      <xdr:rowOff>0</xdr:rowOff>
    </xdr:from>
    <xdr:to>
      <xdr:col>4</xdr:col>
      <xdr:colOff>719273</xdr:colOff>
      <xdr:row>0</xdr:row>
      <xdr:rowOff>1025525</xdr:rowOff>
    </xdr:to>
    <xdr:pic>
      <xdr:nvPicPr>
        <xdr:cNvPr id="10" name="Afbeelding 9">
          <a:extLst>
            <a:ext uri="{FF2B5EF4-FFF2-40B4-BE49-F238E27FC236}">
              <a16:creationId xmlns:a16="http://schemas.microsoft.com/office/drawing/2014/main" id="{00000000-0008-0000-0700-00000A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992257" y="0"/>
          <a:ext cx="580571" cy="101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0-03-04T10:24:38.841"/>
    </inkml:context>
    <inkml:brush xml:id="br0">
      <inkml:brushProperty name="width" value="0.05" units="cm"/>
      <inkml:brushProperty name="height" value="0.05" units="cm"/>
      <inkml:brushProperty name="color" value="#E71224"/>
    </inkml:brush>
  </inkml:definitions>
  <inkml:trace contextRef="#ctx0" brushRef="#br0">1 14 24575,'10'-4'0,"0"1"0,-4 0 0,1 2 0,-3-2 0,-1 3 0</inkml:trace>
</inkml:ink>
</file>

<file path=xl/persons/person.xml><?xml version="1.0" encoding="utf-8"?>
<personList xmlns="http://schemas.microsoft.com/office/spreadsheetml/2018/threadedcomments" xmlns:x="http://schemas.openxmlformats.org/spreadsheetml/2006/main">
  <person displayName="Ruud Bohmer" id="{0807DD4B-7D3B-FE49-91F3-A9E35B90BB48}" userId="S::ruud.bohmer@ictu.nl::7edcbf95-5fc9-4f5e-8e6c-bfb7bda62544" providerId="AD"/>
</personList>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0-04-28T07:56:37.29" personId="{0807DD4B-7D3B-FE49-91F3-A9E35B90BB48}" id="{756C3E08-52EC-4043-A4EF-984D25589D90}">
    <text>1=ja, 2=nee, 3=aanpassing, 4=later, 5=nieuw</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0-04-28T07:56:18.01" personId="{0807DD4B-7D3B-FE49-91F3-A9E35B90BB48}" id="{60ACC834-E17B-7F43-9BE1-2D2491A22F8D}">
    <text>1=ja, 2=nee, 3=aanpassing, 4=later, 5=nieuw</text>
  </threadedComment>
</ThreadedComments>
</file>

<file path=xl/threadedComments/threadedComment3.xml><?xml version="1.0" encoding="utf-8"?>
<ThreadedComments xmlns="http://schemas.microsoft.com/office/spreadsheetml/2018/threadedcomments" xmlns:x="http://schemas.openxmlformats.org/spreadsheetml/2006/main">
  <threadedComment ref="F1" dT="2020-04-28T07:55:55.42" personId="{0807DD4B-7D3B-FE49-91F3-A9E35B90BB48}" id="{43B1CE6E-A801-C64F-8847-E87A73EDAFB2}">
    <text>1=ja, 2=nee, 3=aanpassing, 4=later, 5=nieuw</text>
  </threadedComment>
</ThreadedComments>
</file>

<file path=xl/threadedComments/threadedComment4.xml><?xml version="1.0" encoding="utf-8"?>
<ThreadedComments xmlns="http://schemas.microsoft.com/office/spreadsheetml/2018/threadedcomments" xmlns:x="http://schemas.openxmlformats.org/spreadsheetml/2006/main">
  <threadedComment ref="F1" dT="2020-05-04T15:16:34.28" personId="{0807DD4B-7D3B-FE49-91F3-A9E35B90BB48}" id="{6800970E-0A3D-FD42-B863-76941D98E7E8}">
    <text>1=ja, 2=nee, 3=aanpassing, 4=later, 5=nieuw</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microsoft.com/office/2017/10/relationships/threadedComment" Target="../threadedComments/threadedComment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omments" Target="../comments1.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25.xml"/><Relationship Id="rId13" Type="http://schemas.openxmlformats.org/officeDocument/2006/relationships/ctrlProp" Target="../ctrlProps/ctrlProp30.xml"/><Relationship Id="rId3" Type="http://schemas.openxmlformats.org/officeDocument/2006/relationships/ctrlProp" Target="../ctrlProps/ctrlProp20.xml"/><Relationship Id="rId7" Type="http://schemas.openxmlformats.org/officeDocument/2006/relationships/ctrlProp" Target="../ctrlProps/ctrlProp24.xml"/><Relationship Id="rId12" Type="http://schemas.openxmlformats.org/officeDocument/2006/relationships/ctrlProp" Target="../ctrlProps/ctrlProp29.xml"/><Relationship Id="rId17" Type="http://schemas.microsoft.com/office/2017/10/relationships/threadedComment" Target="../threadedComments/threadedComment2.xml"/><Relationship Id="rId2" Type="http://schemas.openxmlformats.org/officeDocument/2006/relationships/vmlDrawing" Target="../drawings/vmlDrawing2.vml"/><Relationship Id="rId16" Type="http://schemas.openxmlformats.org/officeDocument/2006/relationships/comments" Target="../comments2.xml"/><Relationship Id="rId1" Type="http://schemas.openxmlformats.org/officeDocument/2006/relationships/drawing" Target="../drawings/drawing3.xml"/><Relationship Id="rId6" Type="http://schemas.openxmlformats.org/officeDocument/2006/relationships/ctrlProp" Target="../ctrlProps/ctrlProp23.xml"/><Relationship Id="rId11" Type="http://schemas.openxmlformats.org/officeDocument/2006/relationships/ctrlProp" Target="../ctrlProps/ctrlProp28.xml"/><Relationship Id="rId5" Type="http://schemas.openxmlformats.org/officeDocument/2006/relationships/ctrlProp" Target="../ctrlProps/ctrlProp22.xml"/><Relationship Id="rId15" Type="http://schemas.openxmlformats.org/officeDocument/2006/relationships/ctrlProp" Target="../ctrlProps/ctrlProp32.xml"/><Relationship Id="rId10" Type="http://schemas.openxmlformats.org/officeDocument/2006/relationships/ctrlProp" Target="../ctrlProps/ctrlProp27.xml"/><Relationship Id="rId4" Type="http://schemas.openxmlformats.org/officeDocument/2006/relationships/ctrlProp" Target="../ctrlProps/ctrlProp21.xml"/><Relationship Id="rId9" Type="http://schemas.openxmlformats.org/officeDocument/2006/relationships/ctrlProp" Target="../ctrlProps/ctrlProp26.xml"/><Relationship Id="rId14" Type="http://schemas.openxmlformats.org/officeDocument/2006/relationships/ctrlProp" Target="../ctrlProps/ctrlProp3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38.xml"/><Relationship Id="rId13" Type="http://schemas.microsoft.com/office/2017/10/relationships/threadedComment" Target="../threadedComments/threadedComment3.xml"/><Relationship Id="rId3" Type="http://schemas.openxmlformats.org/officeDocument/2006/relationships/ctrlProp" Target="../ctrlProps/ctrlProp33.xml"/><Relationship Id="rId7" Type="http://schemas.openxmlformats.org/officeDocument/2006/relationships/ctrlProp" Target="../ctrlProps/ctrlProp37.xml"/><Relationship Id="rId12"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36.xml"/><Relationship Id="rId11" Type="http://schemas.openxmlformats.org/officeDocument/2006/relationships/ctrlProp" Target="../ctrlProps/ctrlProp41.xml"/><Relationship Id="rId5" Type="http://schemas.openxmlformats.org/officeDocument/2006/relationships/ctrlProp" Target="../ctrlProps/ctrlProp35.xml"/><Relationship Id="rId10" Type="http://schemas.openxmlformats.org/officeDocument/2006/relationships/ctrlProp" Target="../ctrlProps/ctrlProp40.xml"/><Relationship Id="rId4" Type="http://schemas.openxmlformats.org/officeDocument/2006/relationships/ctrlProp" Target="../ctrlProps/ctrlProp34.xml"/><Relationship Id="rId9" Type="http://schemas.openxmlformats.org/officeDocument/2006/relationships/ctrlProp" Target="../ctrlProps/ctrlProp39.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47.xml"/><Relationship Id="rId3" Type="http://schemas.openxmlformats.org/officeDocument/2006/relationships/ctrlProp" Target="../ctrlProps/ctrlProp42.xml"/><Relationship Id="rId7" Type="http://schemas.openxmlformats.org/officeDocument/2006/relationships/ctrlProp" Target="../ctrlProps/ctrlProp46.xml"/><Relationship Id="rId2" Type="http://schemas.openxmlformats.org/officeDocument/2006/relationships/vmlDrawing" Target="../drawings/vmlDrawing4.vml"/><Relationship Id="rId1" Type="http://schemas.openxmlformats.org/officeDocument/2006/relationships/drawing" Target="../drawings/drawing5.xml"/><Relationship Id="rId6" Type="http://schemas.openxmlformats.org/officeDocument/2006/relationships/ctrlProp" Target="../ctrlProps/ctrlProp45.xml"/><Relationship Id="rId5" Type="http://schemas.openxmlformats.org/officeDocument/2006/relationships/ctrlProp" Target="../ctrlProps/ctrlProp44.xml"/><Relationship Id="rId10" Type="http://schemas.openxmlformats.org/officeDocument/2006/relationships/ctrlProp" Target="../ctrlProps/ctrlProp49.xml"/><Relationship Id="rId4" Type="http://schemas.openxmlformats.org/officeDocument/2006/relationships/ctrlProp" Target="../ctrlProps/ctrlProp43.xml"/><Relationship Id="rId9" Type="http://schemas.openxmlformats.org/officeDocument/2006/relationships/ctrlProp" Target="../ctrlProps/ctrlProp48.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5.xml"/><Relationship Id="rId3" Type="http://schemas.openxmlformats.org/officeDocument/2006/relationships/ctrlProp" Target="../ctrlProps/ctrlProp50.xml"/><Relationship Id="rId7" Type="http://schemas.openxmlformats.org/officeDocument/2006/relationships/ctrlProp" Target="../ctrlProps/ctrlProp54.xml"/><Relationship Id="rId12" Type="http://schemas.microsoft.com/office/2017/10/relationships/threadedComment" Target="../threadedComments/threadedComment4.xml"/><Relationship Id="rId2" Type="http://schemas.openxmlformats.org/officeDocument/2006/relationships/vmlDrawing" Target="../drawings/vmlDrawing5.vml"/><Relationship Id="rId1" Type="http://schemas.openxmlformats.org/officeDocument/2006/relationships/drawing" Target="../drawings/drawing6.xml"/><Relationship Id="rId6" Type="http://schemas.openxmlformats.org/officeDocument/2006/relationships/ctrlProp" Target="../ctrlProps/ctrlProp53.xml"/><Relationship Id="rId11" Type="http://schemas.openxmlformats.org/officeDocument/2006/relationships/comments" Target="../comments4.xml"/><Relationship Id="rId5" Type="http://schemas.openxmlformats.org/officeDocument/2006/relationships/ctrlProp" Target="../ctrlProps/ctrlProp52.xml"/><Relationship Id="rId10" Type="http://schemas.openxmlformats.org/officeDocument/2006/relationships/ctrlProp" Target="../ctrlProps/ctrlProp57.xml"/><Relationship Id="rId4" Type="http://schemas.openxmlformats.org/officeDocument/2006/relationships/ctrlProp" Target="../ctrlProps/ctrlProp51.xml"/><Relationship Id="rId9" Type="http://schemas.openxmlformats.org/officeDocument/2006/relationships/ctrlProp" Target="../ctrlProps/ctrlProp5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9"/>
  <sheetViews>
    <sheetView tabSelected="1" topLeftCell="A2" zoomScale="90" zoomScaleNormal="90" workbookViewId="0">
      <selection activeCell="B2" sqref="B2:O2"/>
    </sheetView>
  </sheetViews>
  <sheetFormatPr defaultColWidth="11" defaultRowHeight="15.5"/>
  <cols>
    <col min="1" max="1" width="17" style="102" customWidth="1"/>
    <col min="2" max="16" width="11" style="102"/>
  </cols>
  <sheetData>
    <row r="1" spans="1:16" ht="21">
      <c r="A1" s="117" t="s">
        <v>213</v>
      </c>
      <c r="B1" s="239"/>
      <c r="C1" s="240"/>
      <c r="D1" s="240"/>
      <c r="E1" s="240"/>
      <c r="F1" s="240"/>
      <c r="G1" s="240"/>
      <c r="H1" s="240"/>
      <c r="I1" s="240"/>
      <c r="J1" s="240"/>
      <c r="K1" s="240"/>
      <c r="L1" s="240"/>
      <c r="M1" s="240"/>
      <c r="N1" s="240"/>
      <c r="O1" s="241"/>
    </row>
    <row r="2" spans="1:16" ht="21">
      <c r="A2" s="117" t="s">
        <v>363</v>
      </c>
      <c r="B2" s="239"/>
      <c r="C2" s="240"/>
      <c r="D2" s="240"/>
      <c r="E2" s="240"/>
      <c r="F2" s="240"/>
      <c r="G2" s="240"/>
      <c r="H2" s="240"/>
      <c r="I2" s="240"/>
      <c r="J2" s="240"/>
      <c r="K2" s="240"/>
      <c r="L2" s="240"/>
      <c r="M2" s="240"/>
      <c r="N2" s="240"/>
      <c r="O2" s="241"/>
    </row>
    <row r="3" spans="1:16" ht="21">
      <c r="A3" s="117" t="s">
        <v>214</v>
      </c>
      <c r="B3" s="242"/>
      <c r="C3" s="243"/>
      <c r="D3" s="243"/>
      <c r="E3" s="243"/>
      <c r="F3" s="243"/>
      <c r="G3" s="243"/>
      <c r="H3" s="243"/>
      <c r="I3" s="243"/>
      <c r="J3" s="243"/>
      <c r="K3" s="243"/>
      <c r="L3" s="243"/>
      <c r="M3" s="243"/>
      <c r="N3" s="243"/>
      <c r="O3" s="244"/>
    </row>
    <row r="5" spans="1:16" ht="16" thickBot="1">
      <c r="A5"/>
    </row>
    <row r="6" spans="1:16" ht="15" customHeight="1">
      <c r="A6" s="106"/>
      <c r="B6" s="107"/>
      <c r="C6" s="107"/>
      <c r="D6" s="107"/>
      <c r="E6" s="107"/>
      <c r="F6" s="107"/>
      <c r="G6" s="107"/>
      <c r="H6" s="107"/>
      <c r="I6" s="107"/>
      <c r="J6" s="107"/>
      <c r="K6" s="107"/>
      <c r="L6" s="107"/>
      <c r="M6" s="107"/>
      <c r="N6" s="107"/>
      <c r="O6" s="107"/>
      <c r="P6" s="108"/>
    </row>
    <row r="7" spans="1:16">
      <c r="A7" s="109"/>
      <c r="B7" s="110"/>
      <c r="C7" s="110"/>
      <c r="D7" s="110"/>
      <c r="E7" s="110"/>
      <c r="F7" s="110"/>
      <c r="G7" s="110"/>
      <c r="H7" s="110"/>
      <c r="I7" s="110"/>
      <c r="J7" s="110"/>
      <c r="K7" s="110"/>
      <c r="L7" s="110"/>
      <c r="M7" s="110"/>
      <c r="N7" s="110"/>
      <c r="O7" s="110"/>
      <c r="P7" s="111"/>
    </row>
    <row r="8" spans="1:16">
      <c r="A8" s="109"/>
      <c r="B8" s="110"/>
      <c r="C8" s="110"/>
      <c r="D8" s="110"/>
      <c r="E8" s="110"/>
      <c r="F8" s="110"/>
      <c r="G8" s="110"/>
      <c r="H8" s="110"/>
      <c r="I8" s="110"/>
      <c r="J8" s="110"/>
      <c r="K8" s="110"/>
      <c r="L8" s="110"/>
      <c r="M8" s="110"/>
      <c r="N8" s="110"/>
      <c r="O8" s="110"/>
      <c r="P8" s="111"/>
    </row>
    <row r="9" spans="1:16">
      <c r="A9" s="109"/>
      <c r="B9" s="110"/>
      <c r="C9" s="110"/>
      <c r="D9" s="110"/>
      <c r="E9" s="110"/>
      <c r="F9" s="110"/>
      <c r="G9" s="110"/>
      <c r="H9" s="110"/>
      <c r="I9" s="110"/>
      <c r="J9" s="110"/>
      <c r="K9" s="110"/>
      <c r="L9" s="110"/>
      <c r="M9" s="110"/>
      <c r="N9" s="110"/>
      <c r="O9" s="110"/>
      <c r="P9" s="111"/>
    </row>
    <row r="10" spans="1:16">
      <c r="A10" s="109"/>
      <c r="B10" s="110"/>
      <c r="C10" s="110"/>
      <c r="D10" s="110"/>
      <c r="E10" s="110"/>
      <c r="F10" s="110"/>
      <c r="G10" s="110"/>
      <c r="H10" s="110"/>
      <c r="I10" s="110"/>
      <c r="J10" s="110"/>
      <c r="K10" s="110"/>
      <c r="L10" s="110"/>
      <c r="M10" s="110"/>
      <c r="N10" s="110"/>
      <c r="O10" s="110"/>
      <c r="P10" s="111"/>
    </row>
    <row r="11" spans="1:16">
      <c r="A11" s="109"/>
      <c r="B11" s="110"/>
      <c r="C11" s="110"/>
      <c r="D11" s="110"/>
      <c r="E11" s="110"/>
      <c r="F11" s="110"/>
      <c r="G11" s="110"/>
      <c r="H11" s="110"/>
      <c r="I11" s="110"/>
      <c r="J11" s="110"/>
      <c r="K11" s="110"/>
      <c r="L11" s="110"/>
      <c r="M11" s="110"/>
      <c r="N11" s="110"/>
      <c r="O11" s="110"/>
      <c r="P11" s="111"/>
    </row>
    <row r="12" spans="1:16">
      <c r="A12" s="109"/>
      <c r="B12" s="110"/>
      <c r="C12" s="110"/>
      <c r="D12" s="110"/>
      <c r="E12" s="110"/>
      <c r="F12" s="110"/>
      <c r="G12" s="110"/>
      <c r="H12" s="110"/>
      <c r="I12" s="110"/>
      <c r="J12" s="110"/>
      <c r="K12" s="110"/>
      <c r="L12" s="110"/>
      <c r="M12" s="110"/>
      <c r="N12" s="110"/>
      <c r="O12" s="110"/>
      <c r="P12" s="111"/>
    </row>
    <row r="13" spans="1:16">
      <c r="A13" s="109"/>
      <c r="B13" s="110"/>
      <c r="C13" s="110"/>
      <c r="D13" s="110"/>
      <c r="E13" s="110"/>
      <c r="F13" s="110"/>
      <c r="G13" s="110"/>
      <c r="H13" s="110"/>
      <c r="I13" s="110"/>
      <c r="J13" s="110"/>
      <c r="K13" s="110"/>
      <c r="L13" s="110"/>
      <c r="M13" s="110"/>
      <c r="N13" s="110"/>
      <c r="O13" s="110"/>
      <c r="P13" s="111"/>
    </row>
    <row r="14" spans="1:16">
      <c r="A14" s="109"/>
      <c r="B14" s="110"/>
      <c r="C14" s="110"/>
      <c r="D14" s="110"/>
      <c r="E14" s="110"/>
      <c r="F14" s="110"/>
      <c r="G14" s="110"/>
      <c r="H14" s="110"/>
      <c r="I14" s="110"/>
      <c r="J14" s="110"/>
      <c r="K14" s="110"/>
      <c r="L14" s="110"/>
      <c r="M14" s="110"/>
      <c r="N14" s="110"/>
      <c r="O14" s="110"/>
      <c r="P14" s="111"/>
    </row>
    <row r="15" spans="1:16">
      <c r="A15" s="109"/>
      <c r="B15" s="110"/>
      <c r="C15" s="110"/>
      <c r="D15" s="110"/>
      <c r="E15" s="110"/>
      <c r="F15" s="110"/>
      <c r="G15" s="110"/>
      <c r="H15" s="110"/>
      <c r="I15" s="110"/>
      <c r="J15" s="110"/>
      <c r="K15" s="110"/>
      <c r="L15" s="110"/>
      <c r="M15" s="110"/>
      <c r="N15" s="110"/>
      <c r="O15" s="110"/>
      <c r="P15" s="111"/>
    </row>
    <row r="16" spans="1:16">
      <c r="A16" s="109"/>
      <c r="B16" s="110"/>
      <c r="C16" s="110"/>
      <c r="D16" s="110"/>
      <c r="E16" s="110"/>
      <c r="F16" s="110"/>
      <c r="G16" s="110"/>
      <c r="H16" s="110"/>
      <c r="I16" s="110"/>
      <c r="J16" s="110"/>
      <c r="K16" s="110"/>
      <c r="L16" s="110"/>
      <c r="M16" s="110"/>
      <c r="N16" s="110"/>
      <c r="O16" s="110"/>
      <c r="P16" s="111"/>
    </row>
    <row r="17" spans="1:16">
      <c r="A17" s="109"/>
      <c r="B17" s="110"/>
      <c r="C17" s="110"/>
      <c r="D17" s="110"/>
      <c r="E17" s="110"/>
      <c r="F17" s="110"/>
      <c r="G17" s="110"/>
      <c r="H17" s="110"/>
      <c r="I17" s="110"/>
      <c r="J17" s="110"/>
      <c r="K17" s="110"/>
      <c r="L17" s="110"/>
      <c r="M17" s="110"/>
      <c r="N17" s="110"/>
      <c r="O17" s="110"/>
      <c r="P17" s="111"/>
    </row>
    <row r="18" spans="1:16">
      <c r="A18" s="109"/>
      <c r="B18" s="110"/>
      <c r="C18" s="110"/>
      <c r="D18" s="110"/>
      <c r="E18" s="110"/>
      <c r="F18" s="110"/>
      <c r="G18" s="110"/>
      <c r="H18" s="110"/>
      <c r="I18" s="110"/>
      <c r="J18" s="110"/>
      <c r="K18" s="110"/>
      <c r="L18" s="110"/>
      <c r="M18" s="110"/>
      <c r="N18" s="110"/>
      <c r="O18" s="110"/>
      <c r="P18" s="111"/>
    </row>
    <row r="19" spans="1:16">
      <c r="A19" s="109"/>
      <c r="B19" s="110"/>
      <c r="C19" s="110"/>
      <c r="D19" s="110"/>
      <c r="E19" s="110"/>
      <c r="F19" s="110"/>
      <c r="G19" s="110"/>
      <c r="H19" s="110"/>
      <c r="I19" s="110"/>
      <c r="J19" s="110"/>
      <c r="K19" s="110"/>
      <c r="L19" s="110"/>
      <c r="M19" s="110"/>
      <c r="N19" s="110"/>
      <c r="O19" s="110"/>
      <c r="P19" s="111"/>
    </row>
    <row r="20" spans="1:16">
      <c r="A20" s="109"/>
      <c r="B20" s="110"/>
      <c r="C20" s="110"/>
      <c r="D20" s="110"/>
      <c r="E20" s="110"/>
      <c r="F20" s="110"/>
      <c r="G20" s="110"/>
      <c r="H20" s="110"/>
      <c r="I20" s="110"/>
      <c r="J20" s="110"/>
      <c r="K20" s="110"/>
      <c r="L20" s="110"/>
      <c r="M20" s="110"/>
      <c r="N20" s="110"/>
      <c r="O20" s="110"/>
      <c r="P20" s="111"/>
    </row>
    <row r="21" spans="1:16">
      <c r="A21" s="109"/>
      <c r="B21" s="110"/>
      <c r="C21" s="110"/>
      <c r="D21" s="110"/>
      <c r="E21" s="110"/>
      <c r="F21" s="110"/>
      <c r="G21" s="110"/>
      <c r="H21" s="110"/>
      <c r="I21" s="110"/>
      <c r="J21" s="110"/>
      <c r="K21" s="110"/>
      <c r="L21" s="110"/>
      <c r="M21" s="110"/>
      <c r="N21" s="110"/>
      <c r="O21" s="110"/>
      <c r="P21" s="111"/>
    </row>
    <row r="22" spans="1:16">
      <c r="A22" s="109"/>
      <c r="B22" s="110"/>
      <c r="C22" s="110"/>
      <c r="D22" s="110"/>
      <c r="E22" s="110"/>
      <c r="F22" s="110"/>
      <c r="G22" s="110"/>
      <c r="H22" s="110"/>
      <c r="I22" s="110"/>
      <c r="J22" s="110"/>
      <c r="K22" s="110"/>
      <c r="L22" s="110"/>
      <c r="M22" s="110"/>
      <c r="N22" s="110"/>
      <c r="O22" s="110"/>
      <c r="P22" s="111"/>
    </row>
    <row r="23" spans="1:16">
      <c r="A23" s="109"/>
      <c r="B23" s="110"/>
      <c r="C23" s="110"/>
      <c r="D23" s="110"/>
      <c r="E23" s="110"/>
      <c r="F23" s="110"/>
      <c r="G23" s="110"/>
      <c r="H23" s="110"/>
      <c r="I23" s="110"/>
      <c r="J23" s="110"/>
      <c r="K23" s="110"/>
      <c r="L23" s="110"/>
      <c r="M23" s="110"/>
      <c r="N23" s="110"/>
      <c r="O23" s="110"/>
      <c r="P23" s="111"/>
    </row>
    <row r="24" spans="1:16">
      <c r="A24" s="109"/>
      <c r="B24" s="110"/>
      <c r="C24" s="110"/>
      <c r="D24" s="110"/>
      <c r="E24" s="110"/>
      <c r="F24" s="110"/>
      <c r="G24" s="110"/>
      <c r="H24" s="110"/>
      <c r="I24" s="110"/>
      <c r="J24" s="110"/>
      <c r="K24" s="110"/>
      <c r="L24" s="110"/>
      <c r="M24" s="110"/>
      <c r="N24" s="110"/>
      <c r="O24" s="110"/>
      <c r="P24" s="111"/>
    </row>
    <row r="25" spans="1:16">
      <c r="A25" s="109"/>
      <c r="B25" s="110"/>
      <c r="C25" s="110"/>
      <c r="D25" s="110"/>
      <c r="E25" s="110"/>
      <c r="F25" s="110"/>
      <c r="G25" s="110"/>
      <c r="H25" s="110"/>
      <c r="I25" s="110"/>
      <c r="J25" s="110"/>
      <c r="K25" s="110"/>
      <c r="L25" s="110"/>
      <c r="M25" s="110"/>
      <c r="N25" s="110"/>
      <c r="O25" s="110"/>
      <c r="P25" s="111"/>
    </row>
    <row r="26" spans="1:16">
      <c r="A26" s="109"/>
      <c r="B26" s="110"/>
      <c r="C26" s="110"/>
      <c r="D26" s="110"/>
      <c r="E26" s="110"/>
      <c r="F26" s="110"/>
      <c r="G26" s="110"/>
      <c r="H26" s="110"/>
      <c r="I26" s="110"/>
      <c r="J26" s="110"/>
      <c r="K26" s="110"/>
      <c r="L26" s="110"/>
      <c r="M26" s="110"/>
      <c r="N26" s="110"/>
      <c r="O26" s="110"/>
      <c r="P26" s="111"/>
    </row>
    <row r="27" spans="1:16">
      <c r="A27" s="109"/>
      <c r="B27" s="110"/>
      <c r="C27" s="110"/>
      <c r="D27" s="110"/>
      <c r="E27" s="110"/>
      <c r="F27" s="110"/>
      <c r="G27" s="110"/>
      <c r="H27" s="110"/>
      <c r="I27" s="110"/>
      <c r="J27" s="110"/>
      <c r="K27" s="110"/>
      <c r="L27" s="110"/>
      <c r="M27" s="110"/>
      <c r="N27" s="110"/>
      <c r="O27" s="110"/>
      <c r="P27" s="111"/>
    </row>
    <row r="28" spans="1:16">
      <c r="A28" s="109"/>
      <c r="B28" s="110"/>
      <c r="C28" s="110"/>
      <c r="D28" s="110"/>
      <c r="E28" s="110"/>
      <c r="F28" s="110"/>
      <c r="G28" s="110"/>
      <c r="H28" s="110"/>
      <c r="I28" s="110"/>
      <c r="J28" s="110"/>
      <c r="K28" s="110"/>
      <c r="L28" s="110"/>
      <c r="M28" s="110"/>
      <c r="N28" s="110"/>
      <c r="O28" s="110"/>
      <c r="P28" s="111"/>
    </row>
    <row r="29" spans="1:16">
      <c r="A29" s="109"/>
      <c r="B29" s="110"/>
      <c r="C29" s="110"/>
      <c r="D29" s="110"/>
      <c r="E29" s="110"/>
      <c r="F29" s="110"/>
      <c r="G29" s="110"/>
      <c r="H29" s="110"/>
      <c r="I29" s="110"/>
      <c r="J29" s="110"/>
      <c r="K29" s="110"/>
      <c r="L29" s="110"/>
      <c r="M29" s="110"/>
      <c r="N29" s="110"/>
      <c r="O29" s="110"/>
      <c r="P29" s="111"/>
    </row>
    <row r="30" spans="1:16">
      <c r="A30" s="109"/>
      <c r="B30" s="110"/>
      <c r="C30" s="110"/>
      <c r="D30" s="110"/>
      <c r="E30" s="110"/>
      <c r="F30" s="110"/>
      <c r="G30" s="110"/>
      <c r="H30" s="110"/>
      <c r="I30" s="110"/>
      <c r="J30" s="110"/>
      <c r="K30" s="110"/>
      <c r="L30" s="110"/>
      <c r="M30" s="110"/>
      <c r="N30" s="110"/>
      <c r="O30" s="110"/>
      <c r="P30" s="111"/>
    </row>
    <row r="31" spans="1:16" ht="21.5" thickBot="1">
      <c r="A31" s="112"/>
      <c r="B31" s="113"/>
      <c r="C31" s="113"/>
      <c r="D31" s="113"/>
      <c r="E31" s="113"/>
      <c r="F31" s="113"/>
      <c r="G31" s="115"/>
      <c r="H31" s="113"/>
      <c r="I31" s="113"/>
      <c r="J31" s="113"/>
      <c r="K31" s="113"/>
      <c r="L31" s="113"/>
      <c r="M31" s="113"/>
      <c r="N31" s="113"/>
      <c r="O31" s="113"/>
      <c r="P31" s="114"/>
    </row>
    <row r="32" spans="1:16">
      <c r="A32" s="109"/>
      <c r="B32" s="110"/>
      <c r="C32" s="110"/>
      <c r="D32" s="110"/>
      <c r="E32" s="110"/>
      <c r="F32" s="110"/>
      <c r="G32" s="110"/>
      <c r="H32" s="110"/>
      <c r="I32" s="110"/>
      <c r="J32" s="110"/>
      <c r="K32" s="110"/>
      <c r="L32" s="110"/>
      <c r="M32" s="110"/>
      <c r="N32" s="110"/>
      <c r="O32" s="110"/>
      <c r="P32" s="111"/>
    </row>
    <row r="33" spans="1:16">
      <c r="A33" s="109"/>
      <c r="B33" s="110"/>
      <c r="C33" s="110"/>
      <c r="D33" s="110"/>
      <c r="E33" s="110"/>
      <c r="F33" s="110"/>
      <c r="G33" s="110"/>
      <c r="H33" s="110"/>
      <c r="I33" s="110"/>
      <c r="J33" s="110"/>
      <c r="K33" s="110"/>
      <c r="L33" s="110"/>
      <c r="M33" s="110"/>
      <c r="N33" s="110"/>
      <c r="O33" s="110"/>
      <c r="P33" s="111"/>
    </row>
    <row r="34" spans="1:16">
      <c r="A34" s="109"/>
      <c r="B34" s="110"/>
      <c r="C34" s="110"/>
      <c r="D34" s="110"/>
      <c r="E34" s="110"/>
      <c r="F34" s="110"/>
      <c r="G34" s="110"/>
      <c r="H34" s="110"/>
      <c r="I34" s="110"/>
      <c r="J34" s="110"/>
      <c r="K34" s="110"/>
      <c r="L34" s="110"/>
      <c r="M34" s="110"/>
      <c r="N34" s="110"/>
      <c r="O34" s="110"/>
      <c r="P34" s="111"/>
    </row>
    <row r="35" spans="1:16">
      <c r="A35" s="109"/>
      <c r="B35" s="110"/>
      <c r="C35" s="110"/>
      <c r="D35" s="110"/>
      <c r="E35" s="110"/>
      <c r="F35" s="110"/>
      <c r="G35" s="110"/>
      <c r="H35" s="110"/>
      <c r="I35" s="110"/>
      <c r="J35" s="110"/>
      <c r="K35" s="110"/>
      <c r="L35" s="110"/>
      <c r="M35" s="110"/>
      <c r="N35" s="110"/>
      <c r="O35" s="110"/>
      <c r="P35" s="111"/>
    </row>
    <row r="36" spans="1:16">
      <c r="A36" s="109"/>
      <c r="B36" s="110"/>
      <c r="C36" s="110"/>
      <c r="D36" s="110"/>
      <c r="E36" s="110"/>
      <c r="F36" s="110"/>
      <c r="G36" s="110"/>
      <c r="H36" s="110"/>
      <c r="I36" s="110"/>
      <c r="J36" s="110"/>
      <c r="K36" s="110"/>
      <c r="L36" s="110"/>
      <c r="M36" s="110"/>
      <c r="N36" s="110"/>
      <c r="O36" s="110"/>
      <c r="P36" s="111"/>
    </row>
    <row r="37" spans="1:16">
      <c r="A37" s="109"/>
      <c r="B37" s="110"/>
      <c r="C37" s="110"/>
      <c r="D37" s="110"/>
      <c r="E37" s="110"/>
      <c r="F37" s="110"/>
      <c r="G37" s="110"/>
      <c r="H37" s="110"/>
      <c r="I37" s="110"/>
      <c r="J37" s="110"/>
      <c r="K37" s="110"/>
      <c r="L37" s="110"/>
      <c r="M37" s="110"/>
      <c r="N37" s="110"/>
      <c r="O37" s="110"/>
      <c r="P37" s="111"/>
    </row>
    <row r="38" spans="1:16">
      <c r="A38" s="109"/>
      <c r="B38" s="110"/>
      <c r="C38" s="110"/>
      <c r="D38" s="110"/>
      <c r="E38" s="110"/>
      <c r="F38" s="110"/>
      <c r="G38" s="110"/>
      <c r="H38" s="110"/>
      <c r="I38" s="110"/>
      <c r="J38" s="110"/>
      <c r="K38" s="110"/>
      <c r="L38" s="110"/>
      <c r="M38" s="110"/>
      <c r="N38" s="110"/>
      <c r="O38" s="110"/>
      <c r="P38" s="111"/>
    </row>
    <row r="39" spans="1:16">
      <c r="A39" s="109"/>
      <c r="B39" s="110"/>
      <c r="C39" s="110"/>
      <c r="D39" s="110"/>
      <c r="E39" s="110"/>
      <c r="F39" s="110"/>
      <c r="G39" s="110"/>
      <c r="H39" s="110"/>
      <c r="I39" s="110"/>
      <c r="J39" s="110"/>
      <c r="K39" s="110"/>
      <c r="L39" s="110"/>
      <c r="M39" s="110"/>
      <c r="N39" s="110"/>
      <c r="O39" s="110"/>
      <c r="P39" s="111"/>
    </row>
    <row r="40" spans="1:16">
      <c r="A40" s="109"/>
      <c r="B40" s="110"/>
      <c r="C40" s="110"/>
      <c r="D40" s="110"/>
      <c r="E40" s="110"/>
      <c r="F40" s="110"/>
      <c r="G40" s="110"/>
      <c r="H40" s="110"/>
      <c r="I40" s="110"/>
      <c r="J40" s="110"/>
      <c r="K40" s="110"/>
      <c r="L40" s="110"/>
      <c r="M40" s="110"/>
      <c r="N40" s="110"/>
      <c r="O40" s="110"/>
      <c r="P40" s="111"/>
    </row>
    <row r="41" spans="1:16">
      <c r="A41" s="109"/>
      <c r="B41" s="110"/>
      <c r="C41" s="110"/>
      <c r="D41" s="110"/>
      <c r="E41" s="110"/>
      <c r="F41" s="110"/>
      <c r="G41" s="110"/>
      <c r="H41" s="110"/>
      <c r="I41" s="110"/>
      <c r="J41" s="110"/>
      <c r="K41" s="110"/>
      <c r="L41" s="110"/>
      <c r="M41" s="110"/>
      <c r="N41" s="110"/>
      <c r="O41" s="110"/>
      <c r="P41" s="111"/>
    </row>
    <row r="42" spans="1:16">
      <c r="A42" s="109"/>
      <c r="B42" s="110"/>
      <c r="C42" s="110"/>
      <c r="D42" s="110"/>
      <c r="E42" s="110"/>
      <c r="F42" s="110"/>
      <c r="G42" s="110"/>
      <c r="H42" s="110"/>
      <c r="I42" s="110"/>
      <c r="J42" s="110"/>
      <c r="K42" s="110"/>
      <c r="L42" s="110"/>
      <c r="M42" s="110"/>
      <c r="N42" s="110"/>
      <c r="O42" s="110"/>
      <c r="P42" s="111"/>
    </row>
    <row r="43" spans="1:16">
      <c r="A43" s="109"/>
      <c r="B43" s="110"/>
      <c r="C43" s="110"/>
      <c r="D43" s="110"/>
      <c r="E43" s="110"/>
      <c r="F43" s="110"/>
      <c r="G43" s="110"/>
      <c r="H43" s="110"/>
      <c r="I43" s="110"/>
      <c r="J43" s="110"/>
      <c r="K43" s="110"/>
      <c r="L43" s="110"/>
      <c r="M43" s="110"/>
      <c r="N43" s="110"/>
      <c r="O43" s="110"/>
      <c r="P43" s="111"/>
    </row>
    <row r="44" spans="1:16">
      <c r="A44" s="109"/>
      <c r="B44" s="110"/>
      <c r="C44" s="110"/>
      <c r="D44" s="110"/>
      <c r="E44" s="110"/>
      <c r="F44" s="110"/>
      <c r="G44" s="110"/>
      <c r="H44" s="110"/>
      <c r="I44" s="110"/>
      <c r="J44" s="110"/>
      <c r="K44" s="110"/>
      <c r="L44" s="110"/>
      <c r="M44" s="110"/>
      <c r="N44" s="110"/>
      <c r="O44" s="110"/>
      <c r="P44" s="111"/>
    </row>
    <row r="45" spans="1:16">
      <c r="A45" s="109"/>
      <c r="B45" s="110"/>
      <c r="C45" s="110"/>
      <c r="D45" s="110"/>
      <c r="E45" s="110"/>
      <c r="F45" s="110"/>
      <c r="G45" s="110"/>
      <c r="H45" s="110"/>
      <c r="I45" s="110"/>
      <c r="J45" s="110"/>
      <c r="K45" s="110"/>
      <c r="L45" s="110"/>
      <c r="M45" s="110"/>
      <c r="N45" s="110"/>
      <c r="O45" s="110"/>
      <c r="P45" s="111"/>
    </row>
    <row r="46" spans="1:16">
      <c r="A46" s="109"/>
      <c r="B46" s="110"/>
      <c r="C46" s="110"/>
      <c r="D46" s="110"/>
      <c r="E46" s="110"/>
      <c r="F46" s="110"/>
      <c r="G46" s="110"/>
      <c r="H46" s="110"/>
      <c r="I46" s="110"/>
      <c r="J46" s="110"/>
      <c r="K46" s="110"/>
      <c r="L46" s="110"/>
      <c r="M46" s="110"/>
      <c r="N46" s="110"/>
      <c r="O46" s="110"/>
      <c r="P46" s="111"/>
    </row>
    <row r="47" spans="1:16">
      <c r="A47" s="109"/>
      <c r="B47" s="110"/>
      <c r="C47" s="110"/>
      <c r="D47" s="110"/>
      <c r="E47" s="110"/>
      <c r="F47" s="110"/>
      <c r="G47" s="110"/>
      <c r="H47" s="110"/>
      <c r="I47" s="110"/>
      <c r="J47" s="110"/>
      <c r="K47" s="110"/>
      <c r="L47" s="110"/>
      <c r="M47" s="110"/>
      <c r="N47" s="110"/>
      <c r="O47" s="110"/>
      <c r="P47" s="111"/>
    </row>
    <row r="48" spans="1:16">
      <c r="A48" s="109"/>
      <c r="B48" s="110"/>
      <c r="C48" s="110"/>
      <c r="D48" s="110"/>
      <c r="E48" s="110"/>
      <c r="F48" s="110"/>
      <c r="G48" s="110"/>
      <c r="H48" s="110"/>
      <c r="I48" s="110"/>
      <c r="J48" s="110"/>
      <c r="K48" s="110"/>
      <c r="L48" s="110"/>
      <c r="M48" s="110"/>
      <c r="N48" s="110"/>
      <c r="O48" s="110"/>
      <c r="P48" s="111"/>
    </row>
    <row r="49" spans="1:16">
      <c r="A49" s="109"/>
      <c r="B49" s="110"/>
      <c r="C49" s="110"/>
      <c r="D49" s="110"/>
      <c r="E49" s="110"/>
      <c r="F49" s="110"/>
      <c r="G49" s="110"/>
      <c r="H49" s="110"/>
      <c r="I49" s="110"/>
      <c r="J49" s="110"/>
      <c r="K49" s="110"/>
      <c r="L49" s="110"/>
      <c r="M49" s="110"/>
      <c r="N49" s="110"/>
      <c r="O49" s="110"/>
      <c r="P49" s="111"/>
    </row>
    <row r="50" spans="1:16">
      <c r="A50" s="109"/>
      <c r="B50" s="110"/>
      <c r="C50" s="110"/>
      <c r="D50" s="110"/>
      <c r="E50" s="110"/>
      <c r="F50" s="110"/>
      <c r="G50" s="110"/>
      <c r="H50" s="110"/>
      <c r="I50" s="110"/>
      <c r="J50" s="110"/>
      <c r="K50" s="110"/>
      <c r="L50" s="110"/>
      <c r="M50" s="110"/>
      <c r="N50" s="110"/>
      <c r="O50" s="110"/>
      <c r="P50" s="111"/>
    </row>
    <row r="51" spans="1:16">
      <c r="A51" s="109"/>
      <c r="B51" s="110"/>
      <c r="C51" s="110"/>
      <c r="D51" s="110"/>
      <c r="E51" s="110"/>
      <c r="F51" s="110"/>
      <c r="G51" s="110"/>
      <c r="H51" s="110"/>
      <c r="I51" s="110"/>
      <c r="J51" s="110"/>
      <c r="K51" s="110"/>
      <c r="L51" s="110"/>
      <c r="M51" s="110"/>
      <c r="N51" s="110"/>
      <c r="O51" s="110"/>
      <c r="P51" s="111"/>
    </row>
    <row r="52" spans="1:16">
      <c r="A52" s="109"/>
      <c r="B52" s="110"/>
      <c r="C52" s="110"/>
      <c r="D52" s="110"/>
      <c r="E52" s="110"/>
      <c r="F52" s="110"/>
      <c r="G52" s="110"/>
      <c r="H52" s="110"/>
      <c r="I52" s="110"/>
      <c r="J52" s="110"/>
      <c r="K52" s="110"/>
      <c r="L52" s="110"/>
      <c r="M52" s="110"/>
      <c r="N52" s="110"/>
      <c r="O52" s="110"/>
      <c r="P52" s="111"/>
    </row>
    <row r="53" spans="1:16">
      <c r="A53" s="109"/>
      <c r="B53" s="110"/>
      <c r="C53" s="110"/>
      <c r="D53" s="110"/>
      <c r="E53" s="110"/>
      <c r="F53" s="110"/>
      <c r="G53" s="110"/>
      <c r="H53" s="110"/>
      <c r="I53" s="110"/>
      <c r="J53" s="110"/>
      <c r="K53" s="110"/>
      <c r="L53" s="110"/>
      <c r="M53" s="110"/>
      <c r="N53" s="110"/>
      <c r="O53" s="110"/>
      <c r="P53" s="111"/>
    </row>
    <row r="54" spans="1:16">
      <c r="A54" s="109"/>
      <c r="B54" s="110"/>
      <c r="C54" s="110"/>
      <c r="D54" s="110"/>
      <c r="E54" s="110"/>
      <c r="F54" s="110"/>
      <c r="G54" s="110"/>
      <c r="H54" s="110"/>
      <c r="I54" s="110"/>
      <c r="J54" s="110"/>
      <c r="K54" s="110"/>
      <c r="L54" s="110"/>
      <c r="M54" s="110"/>
      <c r="N54" s="110"/>
      <c r="O54" s="110"/>
      <c r="P54" s="111"/>
    </row>
    <row r="55" spans="1:16">
      <c r="A55" s="109"/>
      <c r="B55" s="110"/>
      <c r="C55" s="110"/>
      <c r="D55" s="110"/>
      <c r="E55" s="110"/>
      <c r="F55" s="110"/>
      <c r="G55" s="110"/>
      <c r="H55" s="110"/>
      <c r="I55" s="110"/>
      <c r="J55" s="110"/>
      <c r="K55" s="110"/>
      <c r="L55" s="110"/>
      <c r="M55" s="110"/>
      <c r="N55" s="110"/>
      <c r="O55" s="110"/>
      <c r="P55" s="111"/>
    </row>
    <row r="56" spans="1:16">
      <c r="A56" s="109"/>
      <c r="B56" s="110"/>
      <c r="C56" s="110"/>
      <c r="D56" s="110"/>
      <c r="E56" s="110"/>
      <c r="F56" s="110"/>
      <c r="G56" s="110"/>
      <c r="H56" s="110"/>
      <c r="I56" s="110"/>
      <c r="J56" s="110"/>
      <c r="K56" s="110"/>
      <c r="L56" s="110"/>
      <c r="M56" s="110"/>
      <c r="N56" s="110"/>
      <c r="O56" s="110"/>
      <c r="P56" s="111"/>
    </row>
    <row r="57" spans="1:16">
      <c r="A57" s="109"/>
      <c r="B57" s="110"/>
      <c r="C57" s="110"/>
      <c r="D57" s="110"/>
      <c r="E57" s="110"/>
      <c r="F57" s="110"/>
      <c r="G57" s="110"/>
      <c r="H57" s="110"/>
      <c r="I57" s="110"/>
      <c r="J57" s="110"/>
      <c r="K57" s="110"/>
      <c r="L57" s="110"/>
      <c r="M57" s="110"/>
      <c r="N57" s="110"/>
      <c r="O57" s="110"/>
      <c r="P57" s="111"/>
    </row>
    <row r="58" spans="1:16">
      <c r="A58" s="109"/>
      <c r="B58" s="110"/>
      <c r="C58" s="110"/>
      <c r="D58" s="110"/>
      <c r="E58" s="110"/>
      <c r="F58" s="110"/>
      <c r="G58" s="110"/>
      <c r="H58" s="110"/>
      <c r="I58" s="110"/>
      <c r="J58" s="110"/>
      <c r="K58" s="110"/>
      <c r="L58" s="110"/>
      <c r="M58" s="110"/>
      <c r="N58" s="110"/>
      <c r="O58" s="110"/>
      <c r="P58" s="111"/>
    </row>
    <row r="59" spans="1:16">
      <c r="A59" s="109"/>
      <c r="B59" s="110"/>
      <c r="C59" s="110"/>
      <c r="D59" s="110"/>
      <c r="E59" s="110"/>
      <c r="F59" s="110"/>
      <c r="G59" s="110"/>
      <c r="H59" s="110"/>
      <c r="I59" s="110"/>
      <c r="J59" s="110"/>
      <c r="K59" s="110"/>
      <c r="L59" s="110"/>
      <c r="M59" s="110"/>
      <c r="N59" s="110"/>
      <c r="O59" s="110"/>
      <c r="P59" s="111"/>
    </row>
  </sheetData>
  <mergeCells count="3">
    <mergeCell ref="B1:O1"/>
    <mergeCell ref="B2:O2"/>
    <mergeCell ref="B3:O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G26"/>
  <sheetViews>
    <sheetView topLeftCell="C1" zoomScaleNormal="100" workbookViewId="0">
      <pane ySplit="1" topLeftCell="A2" activePane="bottomLeft" state="frozen"/>
      <selection activeCell="B15" sqref="B15"/>
      <selection pane="bottomLeft" activeCell="D12" sqref="D12"/>
    </sheetView>
  </sheetViews>
  <sheetFormatPr defaultColWidth="10.83203125" defaultRowHeight="15.5"/>
  <cols>
    <col min="1" max="1" width="5.5" style="2" customWidth="1"/>
    <col min="2" max="2" width="25.5" style="4" customWidth="1"/>
    <col min="3" max="3" width="52.08203125" style="5" customWidth="1"/>
    <col min="4" max="4" width="73" style="2" customWidth="1"/>
    <col min="5" max="5" width="21" style="180" customWidth="1"/>
    <col min="6" max="6" width="3.75" style="178" hidden="1" customWidth="1"/>
    <col min="7" max="7" width="65.5" style="179" customWidth="1"/>
    <col min="8" max="16384" width="10.83203125" style="2"/>
  </cols>
  <sheetData>
    <row r="1" spans="1:7" ht="93.5" thickBot="1">
      <c r="A1" s="249" t="s">
        <v>0</v>
      </c>
      <c r="B1" s="250"/>
      <c r="C1" s="97" t="s">
        <v>183</v>
      </c>
      <c r="D1" s="121" t="s">
        <v>331</v>
      </c>
      <c r="E1" s="152" t="s">
        <v>186</v>
      </c>
      <c r="F1" s="153" t="s">
        <v>200</v>
      </c>
      <c r="G1" s="154" t="s">
        <v>359</v>
      </c>
    </row>
    <row r="2" spans="1:7" s="57" customFormat="1" ht="23.5">
      <c r="A2" s="53"/>
      <c r="B2" s="54"/>
      <c r="C2" s="55"/>
      <c r="D2" s="56"/>
      <c r="E2" s="155" t="s">
        <v>170</v>
      </c>
      <c r="F2" s="156"/>
      <c r="G2" s="157"/>
    </row>
    <row r="3" spans="1:7" ht="23.5">
      <c r="A3" s="247" t="s">
        <v>1</v>
      </c>
      <c r="B3" s="248"/>
      <c r="C3" s="35"/>
      <c r="D3" s="34" t="s">
        <v>89</v>
      </c>
      <c r="E3" s="158">
        <v>5</v>
      </c>
      <c r="F3" s="159">
        <v>1</v>
      </c>
      <c r="G3" s="160"/>
    </row>
    <row r="4" spans="1:7" ht="31">
      <c r="A4" s="133" t="s">
        <v>2</v>
      </c>
      <c r="B4" s="132" t="s">
        <v>305</v>
      </c>
      <c r="C4" s="16" t="s">
        <v>238</v>
      </c>
      <c r="D4" s="16" t="s">
        <v>333</v>
      </c>
      <c r="E4" s="161"/>
      <c r="F4" s="162">
        <v>1</v>
      </c>
      <c r="G4" s="163"/>
    </row>
    <row r="5" spans="1:7" ht="46.5">
      <c r="A5" s="133" t="s">
        <v>3</v>
      </c>
      <c r="B5" s="6" t="s">
        <v>233</v>
      </c>
      <c r="C5" s="124" t="s">
        <v>239</v>
      </c>
      <c r="D5" s="232" t="s">
        <v>334</v>
      </c>
      <c r="E5" s="164"/>
      <c r="F5" s="162">
        <v>1</v>
      </c>
      <c r="G5" s="163"/>
    </row>
    <row r="6" spans="1:7" ht="31">
      <c r="A6" s="133" t="s">
        <v>4</v>
      </c>
      <c r="B6" s="132" t="s">
        <v>61</v>
      </c>
      <c r="C6" s="16" t="s">
        <v>234</v>
      </c>
      <c r="D6" s="7" t="s">
        <v>335</v>
      </c>
      <c r="E6" s="164"/>
      <c r="F6" s="162">
        <v>1</v>
      </c>
      <c r="G6" s="165"/>
    </row>
    <row r="7" spans="1:7" s="37" customFormat="1" ht="31">
      <c r="A7" s="134" t="s">
        <v>5</v>
      </c>
      <c r="B7" s="132" t="s">
        <v>174</v>
      </c>
      <c r="C7" s="16" t="s">
        <v>332</v>
      </c>
      <c r="D7" s="16" t="s">
        <v>235</v>
      </c>
      <c r="E7" s="166"/>
      <c r="F7" s="167">
        <v>1</v>
      </c>
      <c r="G7" s="165"/>
    </row>
    <row r="8" spans="1:7" ht="31">
      <c r="A8" s="133" t="s">
        <v>6</v>
      </c>
      <c r="B8" s="132" t="s">
        <v>306</v>
      </c>
      <c r="C8" s="16" t="s">
        <v>240</v>
      </c>
      <c r="D8" s="118" t="s">
        <v>241</v>
      </c>
      <c r="E8" s="164"/>
      <c r="F8" s="162">
        <v>1</v>
      </c>
      <c r="G8" s="163"/>
    </row>
    <row r="9" spans="1:7" ht="62">
      <c r="A9" s="134" t="s">
        <v>7</v>
      </c>
      <c r="B9" s="132" t="s">
        <v>202</v>
      </c>
      <c r="C9" s="119" t="s">
        <v>236</v>
      </c>
      <c r="D9" s="16" t="s">
        <v>336</v>
      </c>
      <c r="E9" s="164"/>
      <c r="F9" s="162">
        <v>1</v>
      </c>
      <c r="G9" s="163"/>
    </row>
    <row r="10" spans="1:7" ht="46.5">
      <c r="A10" s="134" t="s">
        <v>8</v>
      </c>
      <c r="B10" s="132" t="s">
        <v>307</v>
      </c>
      <c r="C10" s="16" t="s">
        <v>203</v>
      </c>
      <c r="D10" s="16" t="s">
        <v>237</v>
      </c>
      <c r="E10" s="164"/>
      <c r="F10" s="162">
        <v>1</v>
      </c>
      <c r="G10" s="163"/>
    </row>
    <row r="11" spans="1:7" ht="23.5">
      <c r="A11" s="247" t="s">
        <v>9</v>
      </c>
      <c r="B11" s="248"/>
      <c r="C11" s="35"/>
      <c r="D11" s="23" t="s">
        <v>90</v>
      </c>
      <c r="E11" s="158">
        <v>5</v>
      </c>
      <c r="F11" s="159"/>
      <c r="G11" s="168"/>
    </row>
    <row r="12" spans="1:7" ht="46.5">
      <c r="A12" s="134" t="s">
        <v>11</v>
      </c>
      <c r="B12" s="6" t="s">
        <v>9</v>
      </c>
      <c r="C12" s="16" t="s">
        <v>208</v>
      </c>
      <c r="D12" s="16" t="s">
        <v>299</v>
      </c>
      <c r="E12" s="169"/>
      <c r="F12" s="162">
        <v>1</v>
      </c>
      <c r="G12" s="163"/>
    </row>
    <row r="13" spans="1:7" ht="31">
      <c r="A13" s="134" t="s">
        <v>181</v>
      </c>
      <c r="B13" s="6" t="s">
        <v>204</v>
      </c>
      <c r="C13" s="16" t="s">
        <v>188</v>
      </c>
      <c r="D13" s="16" t="s">
        <v>189</v>
      </c>
      <c r="E13" s="169"/>
      <c r="F13" s="162">
        <v>1</v>
      </c>
      <c r="G13" s="163"/>
    </row>
    <row r="14" spans="1:7" ht="62">
      <c r="A14" s="136" t="s">
        <v>253</v>
      </c>
      <c r="B14" s="12" t="s">
        <v>244</v>
      </c>
      <c r="C14" s="19" t="s">
        <v>242</v>
      </c>
      <c r="D14" s="13" t="s">
        <v>243</v>
      </c>
      <c r="E14" s="164"/>
      <c r="F14" s="170">
        <v>1</v>
      </c>
      <c r="G14" s="163"/>
    </row>
    <row r="15" spans="1:7" ht="23.5">
      <c r="A15" s="245" t="s">
        <v>176</v>
      </c>
      <c r="B15" s="246"/>
      <c r="C15" s="36"/>
      <c r="D15" s="24" t="s">
        <v>184</v>
      </c>
      <c r="E15" s="158">
        <v>5</v>
      </c>
      <c r="F15" s="159"/>
      <c r="G15" s="168"/>
    </row>
    <row r="16" spans="1:7" ht="31">
      <c r="A16" s="134" t="s">
        <v>179</v>
      </c>
      <c r="B16" s="6" t="s">
        <v>177</v>
      </c>
      <c r="C16" s="16" t="s">
        <v>180</v>
      </c>
      <c r="D16" s="16"/>
      <c r="E16" s="164"/>
      <c r="F16" s="162">
        <v>1</v>
      </c>
      <c r="G16" s="163"/>
    </row>
    <row r="17" spans="1:7" ht="62">
      <c r="A17" s="135" t="s">
        <v>182</v>
      </c>
      <c r="B17" s="12" t="s">
        <v>256</v>
      </c>
      <c r="C17" s="19" t="s">
        <v>245</v>
      </c>
      <c r="D17" s="19" t="s">
        <v>246</v>
      </c>
      <c r="E17" s="164"/>
      <c r="F17" s="162">
        <v>1</v>
      </c>
      <c r="G17" s="163"/>
    </row>
    <row r="18" spans="1:7" ht="46.5">
      <c r="A18" s="135" t="s">
        <v>254</v>
      </c>
      <c r="B18" s="12" t="s">
        <v>178</v>
      </c>
      <c r="C18" s="19" t="s">
        <v>300</v>
      </c>
      <c r="D18" s="19" t="s">
        <v>193</v>
      </c>
      <c r="E18" s="164"/>
      <c r="F18" s="162">
        <v>1</v>
      </c>
      <c r="G18" s="163"/>
    </row>
    <row r="19" spans="1:7" ht="31">
      <c r="A19" s="245" t="s">
        <v>10</v>
      </c>
      <c r="B19" s="246"/>
      <c r="C19" s="36"/>
      <c r="D19" s="24" t="s">
        <v>91</v>
      </c>
      <c r="E19" s="171">
        <v>5</v>
      </c>
      <c r="F19" s="159"/>
      <c r="G19" s="168"/>
    </row>
    <row r="20" spans="1:7" ht="46.5">
      <c r="A20" s="136" t="s">
        <v>12</v>
      </c>
      <c r="B20" s="122" t="s">
        <v>205</v>
      </c>
      <c r="C20" s="19" t="s">
        <v>301</v>
      </c>
      <c r="D20" s="13" t="s">
        <v>206</v>
      </c>
      <c r="E20" s="172"/>
      <c r="F20" s="173">
        <v>1</v>
      </c>
      <c r="G20" s="174"/>
    </row>
    <row r="21" spans="1:7" s="13" customFormat="1" ht="46.5">
      <c r="A21" s="137" t="s">
        <v>255</v>
      </c>
      <c r="B21" s="12" t="s">
        <v>92</v>
      </c>
      <c r="C21" s="19" t="s">
        <v>302</v>
      </c>
      <c r="D21" s="126" t="s">
        <v>207</v>
      </c>
      <c r="E21" s="175"/>
      <c r="F21" s="170">
        <v>1</v>
      </c>
      <c r="G21" s="176"/>
    </row>
    <row r="22" spans="1:7" ht="46.5">
      <c r="A22" s="138" t="s">
        <v>13</v>
      </c>
      <c r="B22" s="128" t="s">
        <v>247</v>
      </c>
      <c r="C22" s="125" t="s">
        <v>310</v>
      </c>
      <c r="D22" s="2" t="s">
        <v>308</v>
      </c>
      <c r="E22" s="177"/>
      <c r="F22" s="178">
        <v>1</v>
      </c>
    </row>
    <row r="23" spans="1:7" ht="23.5">
      <c r="A23" s="245" t="s">
        <v>175</v>
      </c>
      <c r="B23" s="246"/>
      <c r="C23" s="36"/>
      <c r="D23" s="24" t="s">
        <v>248</v>
      </c>
      <c r="E23" s="171">
        <v>5</v>
      </c>
      <c r="F23" s="159"/>
      <c r="G23" s="168"/>
    </row>
    <row r="24" spans="1:7" ht="62">
      <c r="A24" s="138" t="s">
        <v>325</v>
      </c>
      <c r="B24" s="4" t="s">
        <v>251</v>
      </c>
      <c r="C24" s="5" t="s">
        <v>249</v>
      </c>
      <c r="D24" s="2" t="s">
        <v>250</v>
      </c>
      <c r="E24" s="177"/>
      <c r="F24" s="178">
        <v>1</v>
      </c>
    </row>
    <row r="25" spans="1:7" ht="62">
      <c r="A25" s="138" t="s">
        <v>326</v>
      </c>
      <c r="B25" s="4" t="s">
        <v>252</v>
      </c>
      <c r="C25" s="5" t="s">
        <v>303</v>
      </c>
      <c r="D25" s="2" t="s">
        <v>304</v>
      </c>
      <c r="E25" s="177"/>
      <c r="F25" s="178">
        <v>1</v>
      </c>
    </row>
    <row r="26" spans="1:7" ht="31">
      <c r="A26" s="138" t="s">
        <v>327</v>
      </c>
      <c r="B26" s="4" t="s">
        <v>174</v>
      </c>
      <c r="C26" s="5" t="s">
        <v>309</v>
      </c>
      <c r="E26" s="177"/>
      <c r="F26" s="178">
        <v>1</v>
      </c>
    </row>
  </sheetData>
  <sheetProtection algorithmName="SHA-512" hashValue="ZxsCeyo9G8Wuk+iAF4Z6r5VqhwDkp74aI9enHo71VDmEoq1CYWUdHEcSqAF+GuR5tRtHQvVN0IQHdNNu2z937w==" saltValue="LhjkpP0nJzHxoUweUMQNTQ==" spinCount="100000" sheet="1" objects="1" scenarios="1"/>
  <autoFilter ref="A1:G22" xr:uid="{00000000-0009-0000-0000-000001000000}">
    <filterColumn colId="0" showButton="0"/>
  </autoFilter>
  <mergeCells count="6">
    <mergeCell ref="A23:B23"/>
    <mergeCell ref="A3:B3"/>
    <mergeCell ref="A11:B11"/>
    <mergeCell ref="A19:B19"/>
    <mergeCell ref="A1:B1"/>
    <mergeCell ref="A15:B15"/>
  </mergeCells>
  <phoneticPr fontId="4"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0" r:id="rId4" name="Vervolgkeuzelijst 55">
              <controlPr defaultSize="0" autoLine="0" autoPict="0">
                <anchor moveWithCells="1">
                  <from>
                    <xdr:col>4</xdr:col>
                    <xdr:colOff>12700</xdr:colOff>
                    <xdr:row>4</xdr:row>
                    <xdr:rowOff>38100</xdr:rowOff>
                  </from>
                  <to>
                    <xdr:col>4</xdr:col>
                    <xdr:colOff>1524000</xdr:colOff>
                    <xdr:row>4</xdr:row>
                    <xdr:rowOff>228600</xdr:rowOff>
                  </to>
                </anchor>
              </controlPr>
            </control>
          </mc:Choice>
        </mc:AlternateContent>
        <mc:AlternateContent xmlns:mc="http://schemas.openxmlformats.org/markup-compatibility/2006">
          <mc:Choice Requires="x14">
            <control shapeId="2051" r:id="rId5" name="Drop Down 3">
              <controlPr defaultSize="0" autoLine="0" autoPict="0">
                <anchor moveWithCells="1">
                  <from>
                    <xdr:col>4</xdr:col>
                    <xdr:colOff>12700</xdr:colOff>
                    <xdr:row>5</xdr:row>
                    <xdr:rowOff>38100</xdr:rowOff>
                  </from>
                  <to>
                    <xdr:col>4</xdr:col>
                    <xdr:colOff>1524000</xdr:colOff>
                    <xdr:row>5</xdr:row>
                    <xdr:rowOff>228600</xdr:rowOff>
                  </to>
                </anchor>
              </controlPr>
            </control>
          </mc:Choice>
        </mc:AlternateContent>
        <mc:AlternateContent xmlns:mc="http://schemas.openxmlformats.org/markup-compatibility/2006">
          <mc:Choice Requires="x14">
            <control shapeId="2055" r:id="rId6" name="Drop Down 7">
              <controlPr defaultSize="0" autoLine="0" autoPict="0">
                <anchor moveWithCells="1">
                  <from>
                    <xdr:col>4</xdr:col>
                    <xdr:colOff>0</xdr:colOff>
                    <xdr:row>8</xdr:row>
                    <xdr:rowOff>0</xdr:rowOff>
                  </from>
                  <to>
                    <xdr:col>4</xdr:col>
                    <xdr:colOff>1517650</xdr:colOff>
                    <xdr:row>8</xdr:row>
                    <xdr:rowOff>190500</xdr:rowOff>
                  </to>
                </anchor>
              </controlPr>
            </control>
          </mc:Choice>
        </mc:AlternateContent>
        <mc:AlternateContent xmlns:mc="http://schemas.openxmlformats.org/markup-compatibility/2006">
          <mc:Choice Requires="x14">
            <control shapeId="2057" r:id="rId7" name="Drop Down 9">
              <controlPr defaultSize="0" autoLine="0" autoPict="0">
                <anchor moveWithCells="1">
                  <from>
                    <xdr:col>4</xdr:col>
                    <xdr:colOff>12700</xdr:colOff>
                    <xdr:row>9</xdr:row>
                    <xdr:rowOff>38100</xdr:rowOff>
                  </from>
                  <to>
                    <xdr:col>4</xdr:col>
                    <xdr:colOff>1524000</xdr:colOff>
                    <xdr:row>9</xdr:row>
                    <xdr:rowOff>228600</xdr:rowOff>
                  </to>
                </anchor>
              </controlPr>
            </control>
          </mc:Choice>
        </mc:AlternateContent>
        <mc:AlternateContent xmlns:mc="http://schemas.openxmlformats.org/markup-compatibility/2006">
          <mc:Choice Requires="x14">
            <control shapeId="2066" r:id="rId8" name="Drop Down 18">
              <controlPr defaultSize="0" autoLine="0" autoPict="0">
                <anchor moveWithCells="1">
                  <from>
                    <xdr:col>4</xdr:col>
                    <xdr:colOff>12700</xdr:colOff>
                    <xdr:row>6</xdr:row>
                    <xdr:rowOff>0</xdr:rowOff>
                  </from>
                  <to>
                    <xdr:col>4</xdr:col>
                    <xdr:colOff>1524000</xdr:colOff>
                    <xdr:row>6</xdr:row>
                    <xdr:rowOff>190500</xdr:rowOff>
                  </to>
                </anchor>
              </controlPr>
            </control>
          </mc:Choice>
        </mc:AlternateContent>
        <mc:AlternateContent xmlns:mc="http://schemas.openxmlformats.org/markup-compatibility/2006">
          <mc:Choice Requires="x14">
            <control shapeId="2068" r:id="rId9" name="Drop Down 20">
              <controlPr defaultSize="0" autoLine="0" autoPict="0">
                <anchor moveWithCells="1">
                  <from>
                    <xdr:col>4</xdr:col>
                    <xdr:colOff>12700</xdr:colOff>
                    <xdr:row>7</xdr:row>
                    <xdr:rowOff>38100</xdr:rowOff>
                  </from>
                  <to>
                    <xdr:col>4</xdr:col>
                    <xdr:colOff>1524000</xdr:colOff>
                    <xdr:row>7</xdr:row>
                    <xdr:rowOff>228600</xdr:rowOff>
                  </to>
                </anchor>
              </controlPr>
            </control>
          </mc:Choice>
        </mc:AlternateContent>
        <mc:AlternateContent xmlns:mc="http://schemas.openxmlformats.org/markup-compatibility/2006">
          <mc:Choice Requires="x14">
            <control shapeId="2070" r:id="rId10" name="Drop Down 22">
              <controlPr defaultSize="0" autoLine="0" autoPict="0">
                <anchor moveWithCells="1">
                  <from>
                    <xdr:col>4</xdr:col>
                    <xdr:colOff>12700</xdr:colOff>
                    <xdr:row>11</xdr:row>
                    <xdr:rowOff>38100</xdr:rowOff>
                  </from>
                  <to>
                    <xdr:col>4</xdr:col>
                    <xdr:colOff>1524000</xdr:colOff>
                    <xdr:row>11</xdr:row>
                    <xdr:rowOff>228600</xdr:rowOff>
                  </to>
                </anchor>
              </controlPr>
            </control>
          </mc:Choice>
        </mc:AlternateContent>
        <mc:AlternateContent xmlns:mc="http://schemas.openxmlformats.org/markup-compatibility/2006">
          <mc:Choice Requires="x14">
            <control shapeId="2074" r:id="rId11" name="Drop Down 26">
              <controlPr defaultSize="0" autoLine="0" autoPict="0">
                <anchor moveWithCells="1">
                  <from>
                    <xdr:col>4</xdr:col>
                    <xdr:colOff>12700</xdr:colOff>
                    <xdr:row>19</xdr:row>
                    <xdr:rowOff>38100</xdr:rowOff>
                  </from>
                  <to>
                    <xdr:col>4</xdr:col>
                    <xdr:colOff>1524000</xdr:colOff>
                    <xdr:row>19</xdr:row>
                    <xdr:rowOff>228600</xdr:rowOff>
                  </to>
                </anchor>
              </controlPr>
            </control>
          </mc:Choice>
        </mc:AlternateContent>
        <mc:AlternateContent xmlns:mc="http://schemas.openxmlformats.org/markup-compatibility/2006">
          <mc:Choice Requires="x14">
            <control shapeId="2075" r:id="rId12" name="Drop Down 27">
              <controlPr defaultSize="0" autoLine="0" autoPict="0">
                <anchor moveWithCells="1">
                  <from>
                    <xdr:col>4</xdr:col>
                    <xdr:colOff>12700</xdr:colOff>
                    <xdr:row>20</xdr:row>
                    <xdr:rowOff>38100</xdr:rowOff>
                  </from>
                  <to>
                    <xdr:col>4</xdr:col>
                    <xdr:colOff>1524000</xdr:colOff>
                    <xdr:row>20</xdr:row>
                    <xdr:rowOff>260350</xdr:rowOff>
                  </to>
                </anchor>
              </controlPr>
            </control>
          </mc:Choice>
        </mc:AlternateContent>
        <mc:AlternateContent xmlns:mc="http://schemas.openxmlformats.org/markup-compatibility/2006">
          <mc:Choice Requires="x14">
            <control shapeId="2091" r:id="rId13" name="Drop Down 43">
              <controlPr defaultSize="0" autoLine="0" autoPict="0">
                <anchor moveWithCells="1">
                  <from>
                    <xdr:col>4</xdr:col>
                    <xdr:colOff>12700</xdr:colOff>
                    <xdr:row>12</xdr:row>
                    <xdr:rowOff>38100</xdr:rowOff>
                  </from>
                  <to>
                    <xdr:col>4</xdr:col>
                    <xdr:colOff>1524000</xdr:colOff>
                    <xdr:row>12</xdr:row>
                    <xdr:rowOff>228600</xdr:rowOff>
                  </to>
                </anchor>
              </controlPr>
            </control>
          </mc:Choice>
        </mc:AlternateContent>
        <mc:AlternateContent xmlns:mc="http://schemas.openxmlformats.org/markup-compatibility/2006">
          <mc:Choice Requires="x14">
            <control shapeId="2049" r:id="rId14" name="Drop Down 1">
              <controlPr defaultSize="0" autoLine="0" autoPict="0">
                <anchor moveWithCells="1">
                  <from>
                    <xdr:col>4</xdr:col>
                    <xdr:colOff>12700</xdr:colOff>
                    <xdr:row>3</xdr:row>
                    <xdr:rowOff>12700</xdr:rowOff>
                  </from>
                  <to>
                    <xdr:col>4</xdr:col>
                    <xdr:colOff>1524000</xdr:colOff>
                    <xdr:row>3</xdr:row>
                    <xdr:rowOff>203200</xdr:rowOff>
                  </to>
                </anchor>
              </controlPr>
            </control>
          </mc:Choice>
        </mc:AlternateContent>
        <mc:AlternateContent xmlns:mc="http://schemas.openxmlformats.org/markup-compatibility/2006">
          <mc:Choice Requires="x14">
            <control shapeId="2095" r:id="rId15" name="Drop Down 47">
              <controlPr defaultSize="0" autoLine="0" autoPict="0">
                <anchor moveWithCells="1">
                  <from>
                    <xdr:col>4</xdr:col>
                    <xdr:colOff>12700</xdr:colOff>
                    <xdr:row>13</xdr:row>
                    <xdr:rowOff>38100</xdr:rowOff>
                  </from>
                  <to>
                    <xdr:col>4</xdr:col>
                    <xdr:colOff>1524000</xdr:colOff>
                    <xdr:row>13</xdr:row>
                    <xdr:rowOff>228600</xdr:rowOff>
                  </to>
                </anchor>
              </controlPr>
            </control>
          </mc:Choice>
        </mc:AlternateContent>
        <mc:AlternateContent xmlns:mc="http://schemas.openxmlformats.org/markup-compatibility/2006">
          <mc:Choice Requires="x14">
            <control shapeId="2097" r:id="rId16" name="Drop Down 49">
              <controlPr defaultSize="0" autoLine="0" autoPict="0">
                <anchor moveWithCells="1">
                  <from>
                    <xdr:col>4</xdr:col>
                    <xdr:colOff>12700</xdr:colOff>
                    <xdr:row>21</xdr:row>
                    <xdr:rowOff>38100</xdr:rowOff>
                  </from>
                  <to>
                    <xdr:col>4</xdr:col>
                    <xdr:colOff>1524000</xdr:colOff>
                    <xdr:row>21</xdr:row>
                    <xdr:rowOff>260350</xdr:rowOff>
                  </to>
                </anchor>
              </controlPr>
            </control>
          </mc:Choice>
        </mc:AlternateContent>
        <mc:AlternateContent xmlns:mc="http://schemas.openxmlformats.org/markup-compatibility/2006">
          <mc:Choice Requires="x14">
            <control shapeId="2099" r:id="rId17" name="Drop Down 51">
              <controlPr defaultSize="0" autoLine="0" autoPict="0">
                <anchor moveWithCells="1">
                  <from>
                    <xdr:col>4</xdr:col>
                    <xdr:colOff>12700</xdr:colOff>
                    <xdr:row>23</xdr:row>
                    <xdr:rowOff>38100</xdr:rowOff>
                  </from>
                  <to>
                    <xdr:col>4</xdr:col>
                    <xdr:colOff>1524000</xdr:colOff>
                    <xdr:row>23</xdr:row>
                    <xdr:rowOff>260350</xdr:rowOff>
                  </to>
                </anchor>
              </controlPr>
            </control>
          </mc:Choice>
        </mc:AlternateContent>
        <mc:AlternateContent xmlns:mc="http://schemas.openxmlformats.org/markup-compatibility/2006">
          <mc:Choice Requires="x14">
            <control shapeId="2100" r:id="rId18" name="Drop Down 52">
              <controlPr defaultSize="0" autoLine="0" autoPict="0">
                <anchor moveWithCells="1">
                  <from>
                    <xdr:col>4</xdr:col>
                    <xdr:colOff>12700</xdr:colOff>
                    <xdr:row>24</xdr:row>
                    <xdr:rowOff>38100</xdr:rowOff>
                  </from>
                  <to>
                    <xdr:col>4</xdr:col>
                    <xdr:colOff>1524000</xdr:colOff>
                    <xdr:row>24</xdr:row>
                    <xdr:rowOff>260350</xdr:rowOff>
                  </to>
                </anchor>
              </controlPr>
            </control>
          </mc:Choice>
        </mc:AlternateContent>
        <mc:AlternateContent xmlns:mc="http://schemas.openxmlformats.org/markup-compatibility/2006">
          <mc:Choice Requires="x14">
            <control shapeId="2102" r:id="rId19" name="Drop Down 54">
              <controlPr defaultSize="0" autoLine="0" autoPict="0">
                <anchor moveWithCells="1">
                  <from>
                    <xdr:col>4</xdr:col>
                    <xdr:colOff>12700</xdr:colOff>
                    <xdr:row>25</xdr:row>
                    <xdr:rowOff>38100</xdr:rowOff>
                  </from>
                  <to>
                    <xdr:col>4</xdr:col>
                    <xdr:colOff>1524000</xdr:colOff>
                    <xdr:row>25</xdr:row>
                    <xdr:rowOff>279400</xdr:rowOff>
                  </to>
                </anchor>
              </controlPr>
            </control>
          </mc:Choice>
        </mc:AlternateContent>
        <mc:AlternateContent xmlns:mc="http://schemas.openxmlformats.org/markup-compatibility/2006">
          <mc:Choice Requires="x14">
            <control shapeId="2103" r:id="rId20" name="Drop Down 55">
              <controlPr defaultSize="0" autoLine="0" autoPict="0">
                <anchor moveWithCells="1">
                  <from>
                    <xdr:col>4</xdr:col>
                    <xdr:colOff>0</xdr:colOff>
                    <xdr:row>16</xdr:row>
                    <xdr:rowOff>38100</xdr:rowOff>
                  </from>
                  <to>
                    <xdr:col>4</xdr:col>
                    <xdr:colOff>1524000</xdr:colOff>
                    <xdr:row>16</xdr:row>
                    <xdr:rowOff>228600</xdr:rowOff>
                  </to>
                </anchor>
              </controlPr>
            </control>
          </mc:Choice>
        </mc:AlternateContent>
        <mc:AlternateContent xmlns:mc="http://schemas.openxmlformats.org/markup-compatibility/2006">
          <mc:Choice Requires="x14">
            <control shapeId="2104" r:id="rId21" name="Drop Down 56">
              <controlPr defaultSize="0" autoLine="0" autoPict="0">
                <anchor moveWithCells="1">
                  <from>
                    <xdr:col>4</xdr:col>
                    <xdr:colOff>12700</xdr:colOff>
                    <xdr:row>17</xdr:row>
                    <xdr:rowOff>38100</xdr:rowOff>
                  </from>
                  <to>
                    <xdr:col>4</xdr:col>
                    <xdr:colOff>1524000</xdr:colOff>
                    <xdr:row>17</xdr:row>
                    <xdr:rowOff>260350</xdr:rowOff>
                  </to>
                </anchor>
              </controlPr>
            </control>
          </mc:Choice>
        </mc:AlternateContent>
        <mc:AlternateContent xmlns:mc="http://schemas.openxmlformats.org/markup-compatibility/2006">
          <mc:Choice Requires="x14">
            <control shapeId="2105" r:id="rId22" name="Drop Down 57">
              <controlPr defaultSize="0" autoLine="0" autoPict="0">
                <anchor moveWithCells="1">
                  <from>
                    <xdr:col>4</xdr:col>
                    <xdr:colOff>12700</xdr:colOff>
                    <xdr:row>15</xdr:row>
                    <xdr:rowOff>38100</xdr:rowOff>
                  </from>
                  <to>
                    <xdr:col>4</xdr:col>
                    <xdr:colOff>1524000</xdr:colOff>
                    <xdr:row>15</xdr:row>
                    <xdr:rowOff>209550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E4CC"/>
  </sheetPr>
  <dimension ref="A1:G25"/>
  <sheetViews>
    <sheetView zoomScale="99" zoomScaleNormal="99" workbookViewId="0">
      <pane ySplit="1" topLeftCell="A2" activePane="bottomLeft" state="frozen"/>
      <selection activeCell="B15" sqref="B15"/>
      <selection pane="bottomLeft" activeCell="D4" sqref="D4"/>
    </sheetView>
  </sheetViews>
  <sheetFormatPr defaultColWidth="10.83203125" defaultRowHeight="15.5"/>
  <cols>
    <col min="1" max="1" width="5.5" style="2" customWidth="1"/>
    <col min="2" max="2" width="38" style="4" customWidth="1"/>
    <col min="3" max="3" width="51.58203125" style="4" customWidth="1"/>
    <col min="4" max="4" width="54" style="5" customWidth="1"/>
    <col min="5" max="5" width="20.33203125" style="196" customWidth="1"/>
    <col min="6" max="6" width="11.83203125" style="178" hidden="1" customWidth="1"/>
    <col min="7" max="7" width="63.5" style="179" customWidth="1"/>
    <col min="8" max="16384" width="10.83203125" style="2"/>
  </cols>
  <sheetData>
    <row r="1" spans="1:7" ht="31">
      <c r="A1" s="17" t="s">
        <v>25</v>
      </c>
      <c r="B1" s="18"/>
      <c r="C1" s="77" t="s">
        <v>183</v>
      </c>
      <c r="D1" s="77" t="s">
        <v>331</v>
      </c>
      <c r="E1" s="181" t="s">
        <v>186</v>
      </c>
      <c r="F1" s="182" t="s">
        <v>201</v>
      </c>
      <c r="G1" s="183" t="s">
        <v>359</v>
      </c>
    </row>
    <row r="2" spans="1:7" s="57" customFormat="1" ht="23.5">
      <c r="A2" s="58"/>
      <c r="B2" s="59"/>
      <c r="C2" s="78"/>
      <c r="D2" s="60"/>
      <c r="E2" s="184" t="s">
        <v>170</v>
      </c>
      <c r="F2" s="185"/>
      <c r="G2" s="186"/>
    </row>
    <row r="3" spans="1:7" ht="31">
      <c r="A3" s="251" t="s">
        <v>273</v>
      </c>
      <c r="B3" s="252"/>
      <c r="C3" s="79"/>
      <c r="D3" s="25" t="s">
        <v>93</v>
      </c>
      <c r="E3" s="187">
        <v>5</v>
      </c>
      <c r="F3" s="188">
        <v>3</v>
      </c>
      <c r="G3" s="189"/>
    </row>
    <row r="4" spans="1:7" ht="46.5">
      <c r="A4" s="233" t="s">
        <v>27</v>
      </c>
      <c r="B4" s="6" t="s">
        <v>209</v>
      </c>
      <c r="C4" s="123" t="s">
        <v>274</v>
      </c>
      <c r="D4" s="16" t="s">
        <v>338</v>
      </c>
      <c r="E4" s="190"/>
      <c r="F4" s="191">
        <v>5</v>
      </c>
      <c r="G4" s="192"/>
    </row>
    <row r="5" spans="1:7" ht="31">
      <c r="A5" s="233" t="s">
        <v>28</v>
      </c>
      <c r="B5" s="6" t="s">
        <v>275</v>
      </c>
      <c r="C5" s="16" t="s">
        <v>340</v>
      </c>
      <c r="D5" s="16" t="s">
        <v>276</v>
      </c>
      <c r="E5" s="190"/>
      <c r="F5" s="191">
        <v>3</v>
      </c>
      <c r="G5" s="192"/>
    </row>
    <row r="6" spans="1:7" ht="46.5">
      <c r="A6" s="233" t="s">
        <v>29</v>
      </c>
      <c r="B6" s="6" t="s">
        <v>311</v>
      </c>
      <c r="C6" s="16" t="s">
        <v>339</v>
      </c>
      <c r="D6" s="16" t="s">
        <v>296</v>
      </c>
      <c r="E6" s="190"/>
      <c r="F6" s="191">
        <v>3</v>
      </c>
      <c r="G6" s="192"/>
    </row>
    <row r="7" spans="1:7" ht="31">
      <c r="A7" s="251" t="s">
        <v>26</v>
      </c>
      <c r="B7" s="252"/>
      <c r="C7" s="79"/>
      <c r="D7" s="25" t="s">
        <v>297</v>
      </c>
      <c r="E7" s="187">
        <v>5</v>
      </c>
      <c r="F7" s="188">
        <v>3</v>
      </c>
      <c r="G7" s="193"/>
    </row>
    <row r="8" spans="1:7" ht="46.5">
      <c r="A8" s="233" t="s">
        <v>30</v>
      </c>
      <c r="B8" s="6" t="s">
        <v>62</v>
      </c>
      <c r="C8" s="16" t="s">
        <v>341</v>
      </c>
      <c r="D8" s="16" t="s">
        <v>342</v>
      </c>
      <c r="E8" s="190"/>
      <c r="F8" s="191">
        <v>3</v>
      </c>
      <c r="G8" s="163"/>
    </row>
    <row r="9" spans="1:7" ht="46.5">
      <c r="A9" s="233" t="s">
        <v>31</v>
      </c>
      <c r="B9" s="6" t="s">
        <v>63</v>
      </c>
      <c r="C9" s="16" t="s">
        <v>343</v>
      </c>
      <c r="D9" s="16" t="s">
        <v>344</v>
      </c>
      <c r="E9" s="190"/>
      <c r="F9" s="191">
        <v>3</v>
      </c>
      <c r="G9" s="163"/>
    </row>
    <row r="10" spans="1:7" ht="46.5">
      <c r="A10" s="233" t="s">
        <v>32</v>
      </c>
      <c r="B10" s="6" t="s">
        <v>64</v>
      </c>
      <c r="C10" s="16" t="s">
        <v>346</v>
      </c>
      <c r="D10" s="16" t="s">
        <v>345</v>
      </c>
      <c r="E10" s="190"/>
      <c r="F10" s="191">
        <v>3</v>
      </c>
      <c r="G10" s="163"/>
    </row>
    <row r="11" spans="1:7" ht="31">
      <c r="A11" s="251" t="s">
        <v>34</v>
      </c>
      <c r="B11" s="252"/>
      <c r="C11" s="79"/>
      <c r="D11" s="25" t="s">
        <v>94</v>
      </c>
      <c r="E11" s="187">
        <v>5</v>
      </c>
      <c r="F11" s="188">
        <v>3</v>
      </c>
      <c r="G11" s="193"/>
    </row>
    <row r="12" spans="1:7" ht="46.5">
      <c r="A12" s="234" t="s">
        <v>35</v>
      </c>
      <c r="B12" s="6" t="s">
        <v>34</v>
      </c>
      <c r="C12" s="16" t="s">
        <v>210</v>
      </c>
      <c r="D12" s="16" t="s">
        <v>347</v>
      </c>
      <c r="E12" s="190"/>
      <c r="F12" s="191">
        <v>3</v>
      </c>
      <c r="G12" s="163"/>
    </row>
    <row r="13" spans="1:7" ht="31">
      <c r="A13" s="234" t="s">
        <v>36</v>
      </c>
      <c r="B13" s="6" t="s">
        <v>211</v>
      </c>
      <c r="C13" s="16" t="s">
        <v>190</v>
      </c>
      <c r="D13" s="16" t="s">
        <v>348</v>
      </c>
      <c r="E13" s="190"/>
      <c r="F13" s="191">
        <v>3</v>
      </c>
      <c r="G13" s="163"/>
    </row>
    <row r="14" spans="1:7" ht="46.5">
      <c r="A14" s="234" t="s">
        <v>37</v>
      </c>
      <c r="B14" s="6" t="s">
        <v>65</v>
      </c>
      <c r="C14" s="16" t="s">
        <v>337</v>
      </c>
      <c r="D14" s="16" t="s">
        <v>349</v>
      </c>
      <c r="E14" s="190"/>
      <c r="F14" s="191">
        <v>3</v>
      </c>
      <c r="G14" s="163"/>
    </row>
    <row r="15" spans="1:7" ht="23.5">
      <c r="A15" s="251" t="s">
        <v>66</v>
      </c>
      <c r="B15" s="252"/>
      <c r="C15" s="79"/>
      <c r="D15" s="15"/>
      <c r="E15" s="187">
        <v>5</v>
      </c>
      <c r="F15" s="195">
        <v>3</v>
      </c>
      <c r="G15" s="193"/>
    </row>
    <row r="16" spans="1:7" ht="62">
      <c r="A16" s="234" t="s">
        <v>67</v>
      </c>
      <c r="B16" s="12" t="s">
        <v>278</v>
      </c>
      <c r="C16" s="16" t="s">
        <v>350</v>
      </c>
      <c r="D16" s="19" t="s">
        <v>351</v>
      </c>
      <c r="E16" s="190"/>
      <c r="F16" s="191">
        <v>3</v>
      </c>
      <c r="G16" s="163"/>
    </row>
    <row r="17" spans="1:7" ht="23.5">
      <c r="A17" s="251" t="s">
        <v>277</v>
      </c>
      <c r="B17" s="252"/>
      <c r="C17" s="79"/>
      <c r="D17" s="15"/>
      <c r="E17" s="187">
        <v>5</v>
      </c>
      <c r="F17" s="195">
        <v>3</v>
      </c>
      <c r="G17" s="193"/>
    </row>
    <row r="18" spans="1:7" s="5" customFormat="1" ht="62">
      <c r="A18" s="235" t="s">
        <v>328</v>
      </c>
      <c r="B18" s="4" t="s">
        <v>277</v>
      </c>
      <c r="C18" s="5" t="s">
        <v>360</v>
      </c>
      <c r="D18" s="5" t="s">
        <v>279</v>
      </c>
      <c r="E18" s="196"/>
      <c r="F18" s="196"/>
      <c r="G18" s="197"/>
    </row>
    <row r="19" spans="1:7" s="5" customFormat="1" ht="85.5" customHeight="1">
      <c r="A19" s="235" t="s">
        <v>329</v>
      </c>
      <c r="B19" s="4" t="s">
        <v>281</v>
      </c>
      <c r="C19" s="5" t="s">
        <v>298</v>
      </c>
      <c r="D19" s="5" t="s">
        <v>361</v>
      </c>
      <c r="E19" s="196"/>
      <c r="F19" s="196"/>
      <c r="G19" s="197"/>
    </row>
    <row r="20" spans="1:7" s="5" customFormat="1" ht="46.5">
      <c r="A20" s="235" t="s">
        <v>330</v>
      </c>
      <c r="B20" s="4" t="s">
        <v>312</v>
      </c>
      <c r="C20" s="5" t="s">
        <v>280</v>
      </c>
      <c r="E20" s="196"/>
      <c r="F20" s="196"/>
      <c r="G20" s="197"/>
    </row>
    <row r="21" spans="1:7" s="5" customFormat="1">
      <c r="E21" s="196"/>
      <c r="F21" s="196"/>
      <c r="G21" s="197"/>
    </row>
    <row r="22" spans="1:7" s="5" customFormat="1">
      <c r="E22" s="196"/>
      <c r="F22" s="196"/>
      <c r="G22" s="197"/>
    </row>
    <row r="23" spans="1:7" s="5" customFormat="1">
      <c r="E23" s="196"/>
      <c r="F23" s="196"/>
      <c r="G23" s="197"/>
    </row>
    <row r="24" spans="1:7" s="5" customFormat="1">
      <c r="E24" s="196"/>
      <c r="F24" s="196"/>
      <c r="G24" s="197"/>
    </row>
    <row r="25" spans="1:7" s="5" customFormat="1">
      <c r="E25" s="196"/>
      <c r="F25" s="196"/>
      <c r="G25" s="197"/>
    </row>
  </sheetData>
  <sheetProtection algorithmName="SHA-512" hashValue="8ZZJ73Aqzol+kUrHlG6b4wVOGmJ+zGwmSxYR5MjRmQIM2gXJsjR514sTkEyzHOSPWKzTcuiUZxxWHl6BRK0B3A==" saltValue="UOKDhYf9gpwpV/Horm/+IQ==" spinCount="100000" sheet="1" objects="1" scenarios="1"/>
  <autoFilter ref="A1:G16" xr:uid="{00000000-0009-0000-0000-000002000000}"/>
  <mergeCells count="5">
    <mergeCell ref="A17:B17"/>
    <mergeCell ref="A15:B15"/>
    <mergeCell ref="A3:B3"/>
    <mergeCell ref="A7:B7"/>
    <mergeCell ref="A11:B11"/>
  </mergeCells>
  <phoneticPr fontId="4"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9" r:id="rId3" name="Vervolgkeuzelijst 55">
              <controlPr defaultSize="0" autoLine="0" autoPict="0">
                <anchor moveWithCells="1">
                  <from>
                    <xdr:col>4</xdr:col>
                    <xdr:colOff>12700</xdr:colOff>
                    <xdr:row>4</xdr:row>
                    <xdr:rowOff>38100</xdr:rowOff>
                  </from>
                  <to>
                    <xdr:col>4</xdr:col>
                    <xdr:colOff>1536700</xdr:colOff>
                    <xdr:row>4</xdr:row>
                    <xdr:rowOff>228600</xdr:rowOff>
                  </to>
                </anchor>
              </controlPr>
            </control>
          </mc:Choice>
        </mc:AlternateContent>
        <mc:AlternateContent xmlns:mc="http://schemas.openxmlformats.org/markup-compatibility/2006">
          <mc:Choice Requires="x14">
            <control shapeId="4100" r:id="rId4" name="Drop Down 4">
              <controlPr defaultSize="0" autoLine="0" autoPict="0">
                <anchor moveWithCells="1">
                  <from>
                    <xdr:col>4</xdr:col>
                    <xdr:colOff>38100</xdr:colOff>
                    <xdr:row>5</xdr:row>
                    <xdr:rowOff>12700</xdr:rowOff>
                  </from>
                  <to>
                    <xdr:col>6</xdr:col>
                    <xdr:colOff>0</xdr:colOff>
                    <xdr:row>5</xdr:row>
                    <xdr:rowOff>228600</xdr:rowOff>
                  </to>
                </anchor>
              </controlPr>
            </control>
          </mc:Choice>
        </mc:AlternateContent>
        <mc:AlternateContent xmlns:mc="http://schemas.openxmlformats.org/markup-compatibility/2006">
          <mc:Choice Requires="x14">
            <control shapeId="4102" r:id="rId5" name="Drop Down 6">
              <controlPr defaultSize="0" autoLine="0" autoPict="0">
                <anchor moveWithCells="1">
                  <from>
                    <xdr:col>4</xdr:col>
                    <xdr:colOff>0</xdr:colOff>
                    <xdr:row>7</xdr:row>
                    <xdr:rowOff>12700</xdr:rowOff>
                  </from>
                  <to>
                    <xdr:col>4</xdr:col>
                    <xdr:colOff>1524000</xdr:colOff>
                    <xdr:row>7</xdr:row>
                    <xdr:rowOff>228600</xdr:rowOff>
                  </to>
                </anchor>
              </controlPr>
            </control>
          </mc:Choice>
        </mc:AlternateContent>
        <mc:AlternateContent xmlns:mc="http://schemas.openxmlformats.org/markup-compatibility/2006">
          <mc:Choice Requires="x14">
            <control shapeId="4105" r:id="rId6" name="Drop Down 9">
              <controlPr defaultSize="0" autoLine="0" autoPict="0">
                <anchor moveWithCells="1">
                  <from>
                    <xdr:col>4</xdr:col>
                    <xdr:colOff>0</xdr:colOff>
                    <xdr:row>9</xdr:row>
                    <xdr:rowOff>12700</xdr:rowOff>
                  </from>
                  <to>
                    <xdr:col>4</xdr:col>
                    <xdr:colOff>1524000</xdr:colOff>
                    <xdr:row>9</xdr:row>
                    <xdr:rowOff>228600</xdr:rowOff>
                  </to>
                </anchor>
              </controlPr>
            </control>
          </mc:Choice>
        </mc:AlternateContent>
        <mc:AlternateContent xmlns:mc="http://schemas.openxmlformats.org/markup-compatibility/2006">
          <mc:Choice Requires="x14">
            <control shapeId="4107" r:id="rId7" name="Drop Down 11">
              <controlPr defaultSize="0" autoLine="0" autoPict="0">
                <anchor moveWithCells="1">
                  <from>
                    <xdr:col>4</xdr:col>
                    <xdr:colOff>0</xdr:colOff>
                    <xdr:row>11</xdr:row>
                    <xdr:rowOff>88900</xdr:rowOff>
                  </from>
                  <to>
                    <xdr:col>4</xdr:col>
                    <xdr:colOff>1524000</xdr:colOff>
                    <xdr:row>11</xdr:row>
                    <xdr:rowOff>304800</xdr:rowOff>
                  </to>
                </anchor>
              </controlPr>
            </control>
          </mc:Choice>
        </mc:AlternateContent>
        <mc:AlternateContent xmlns:mc="http://schemas.openxmlformats.org/markup-compatibility/2006">
          <mc:Choice Requires="x14">
            <control shapeId="4108" r:id="rId8" name="Drop Down 12">
              <controlPr defaultSize="0" autoLine="0" autoPict="0">
                <anchor moveWithCells="1">
                  <from>
                    <xdr:col>4</xdr:col>
                    <xdr:colOff>0</xdr:colOff>
                    <xdr:row>12</xdr:row>
                    <xdr:rowOff>88900</xdr:rowOff>
                  </from>
                  <to>
                    <xdr:col>4</xdr:col>
                    <xdr:colOff>1524000</xdr:colOff>
                    <xdr:row>12</xdr:row>
                    <xdr:rowOff>304800</xdr:rowOff>
                  </to>
                </anchor>
              </controlPr>
            </control>
          </mc:Choice>
        </mc:AlternateContent>
        <mc:AlternateContent xmlns:mc="http://schemas.openxmlformats.org/markup-compatibility/2006">
          <mc:Choice Requires="x14">
            <control shapeId="4109" r:id="rId9" name="Drop Down 13">
              <controlPr defaultSize="0" autoLine="0" autoPict="0">
                <anchor moveWithCells="1">
                  <from>
                    <xdr:col>4</xdr:col>
                    <xdr:colOff>0</xdr:colOff>
                    <xdr:row>13</xdr:row>
                    <xdr:rowOff>88900</xdr:rowOff>
                  </from>
                  <to>
                    <xdr:col>4</xdr:col>
                    <xdr:colOff>1524000</xdr:colOff>
                    <xdr:row>13</xdr:row>
                    <xdr:rowOff>304800</xdr:rowOff>
                  </to>
                </anchor>
              </controlPr>
            </control>
          </mc:Choice>
        </mc:AlternateContent>
        <mc:AlternateContent xmlns:mc="http://schemas.openxmlformats.org/markup-compatibility/2006">
          <mc:Choice Requires="x14">
            <control shapeId="4118" r:id="rId10" name="Drop Down 22">
              <controlPr defaultSize="0" autoLine="0" autoPict="0">
                <anchor moveWithCells="1">
                  <from>
                    <xdr:col>4</xdr:col>
                    <xdr:colOff>0</xdr:colOff>
                    <xdr:row>15</xdr:row>
                    <xdr:rowOff>12700</xdr:rowOff>
                  </from>
                  <to>
                    <xdr:col>4</xdr:col>
                    <xdr:colOff>1524000</xdr:colOff>
                    <xdr:row>15</xdr:row>
                    <xdr:rowOff>228600</xdr:rowOff>
                  </to>
                </anchor>
              </controlPr>
            </control>
          </mc:Choice>
        </mc:AlternateContent>
        <mc:AlternateContent xmlns:mc="http://schemas.openxmlformats.org/markup-compatibility/2006">
          <mc:Choice Requires="x14">
            <control shapeId="4126" r:id="rId11" name="Drop Down 30">
              <controlPr defaultSize="0" autoLine="0" autoPict="0">
                <anchor moveWithCells="1">
                  <from>
                    <xdr:col>4</xdr:col>
                    <xdr:colOff>38100</xdr:colOff>
                    <xdr:row>3</xdr:row>
                    <xdr:rowOff>0</xdr:rowOff>
                  </from>
                  <to>
                    <xdr:col>6</xdr:col>
                    <xdr:colOff>0</xdr:colOff>
                    <xdr:row>3</xdr:row>
                    <xdr:rowOff>203200</xdr:rowOff>
                  </to>
                </anchor>
              </controlPr>
            </control>
          </mc:Choice>
        </mc:AlternateContent>
        <mc:AlternateContent xmlns:mc="http://schemas.openxmlformats.org/markup-compatibility/2006">
          <mc:Choice Requires="x14">
            <control shapeId="4131" r:id="rId12" name="Drop Down 35">
              <controlPr defaultSize="0" autoLine="0" autoPict="0">
                <anchor moveWithCells="1">
                  <from>
                    <xdr:col>4</xdr:col>
                    <xdr:colOff>0</xdr:colOff>
                    <xdr:row>17</xdr:row>
                    <xdr:rowOff>12700</xdr:rowOff>
                  </from>
                  <to>
                    <xdr:col>4</xdr:col>
                    <xdr:colOff>1524000</xdr:colOff>
                    <xdr:row>17</xdr:row>
                    <xdr:rowOff>228600</xdr:rowOff>
                  </to>
                </anchor>
              </controlPr>
            </control>
          </mc:Choice>
        </mc:AlternateContent>
        <mc:AlternateContent xmlns:mc="http://schemas.openxmlformats.org/markup-compatibility/2006">
          <mc:Choice Requires="x14">
            <control shapeId="4132" r:id="rId13" name="Drop Down 36">
              <controlPr defaultSize="0" autoLine="0" autoPict="0">
                <anchor moveWithCells="1">
                  <from>
                    <xdr:col>4</xdr:col>
                    <xdr:colOff>0</xdr:colOff>
                    <xdr:row>18</xdr:row>
                    <xdr:rowOff>12700</xdr:rowOff>
                  </from>
                  <to>
                    <xdr:col>4</xdr:col>
                    <xdr:colOff>1524000</xdr:colOff>
                    <xdr:row>18</xdr:row>
                    <xdr:rowOff>228600</xdr:rowOff>
                  </to>
                </anchor>
              </controlPr>
            </control>
          </mc:Choice>
        </mc:AlternateContent>
        <mc:AlternateContent xmlns:mc="http://schemas.openxmlformats.org/markup-compatibility/2006">
          <mc:Choice Requires="x14">
            <control shapeId="4133" r:id="rId14" name="Drop Down 37">
              <controlPr defaultSize="0" autoLine="0" autoPict="0">
                <anchor moveWithCells="1">
                  <from>
                    <xdr:col>4</xdr:col>
                    <xdr:colOff>0</xdr:colOff>
                    <xdr:row>19</xdr:row>
                    <xdr:rowOff>12700</xdr:rowOff>
                  </from>
                  <to>
                    <xdr:col>4</xdr:col>
                    <xdr:colOff>1524000</xdr:colOff>
                    <xdr:row>19</xdr:row>
                    <xdr:rowOff>228600</xdr:rowOff>
                  </to>
                </anchor>
              </controlPr>
            </control>
          </mc:Choice>
        </mc:AlternateContent>
        <mc:AlternateContent xmlns:mc="http://schemas.openxmlformats.org/markup-compatibility/2006">
          <mc:Choice Requires="x14">
            <control shapeId="4135" r:id="rId15" name="Drop Down 39">
              <controlPr defaultSize="0" autoLine="0" autoPict="0">
                <anchor moveWithCells="1">
                  <from>
                    <xdr:col>3</xdr:col>
                    <xdr:colOff>4089400</xdr:colOff>
                    <xdr:row>8</xdr:row>
                    <xdr:rowOff>31750</xdr:rowOff>
                  </from>
                  <to>
                    <xdr:col>5</xdr:col>
                    <xdr:colOff>0</xdr:colOff>
                    <xdr:row>8</xdr:row>
                    <xdr:rowOff>285750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8785E"/>
  </sheetPr>
  <dimension ref="A1:G142"/>
  <sheetViews>
    <sheetView topLeftCell="B1" zoomScale="96" zoomScaleNormal="96" workbookViewId="0">
      <pane ySplit="1" topLeftCell="A4" activePane="bottomLeft" state="frozen"/>
      <selection activeCell="B15" sqref="B15"/>
      <selection pane="bottomLeft" activeCell="G15" sqref="G15"/>
    </sheetView>
  </sheetViews>
  <sheetFormatPr defaultColWidth="10.83203125" defaultRowHeight="15.5"/>
  <cols>
    <col min="1" max="1" width="5.5" style="1" customWidth="1"/>
    <col min="2" max="2" width="26.83203125" style="4" customWidth="1"/>
    <col min="3" max="3" width="50.83203125" style="4" customWidth="1"/>
    <col min="4" max="4" width="82" style="2" customWidth="1"/>
    <col min="5" max="5" width="19.83203125" style="178" customWidth="1"/>
    <col min="6" max="6" width="16.5" style="210" hidden="1" customWidth="1"/>
    <col min="7" max="7" width="61.33203125" style="212" customWidth="1"/>
    <col min="8" max="16384" width="10.83203125" style="1"/>
  </cols>
  <sheetData>
    <row r="1" spans="1:7" ht="31">
      <c r="A1" s="139" t="s">
        <v>38</v>
      </c>
      <c r="B1" s="140"/>
      <c r="C1" s="140" t="s">
        <v>183</v>
      </c>
      <c r="D1" s="140" t="s">
        <v>331</v>
      </c>
      <c r="E1" s="198" t="s">
        <v>186</v>
      </c>
      <c r="F1" s="199" t="s">
        <v>201</v>
      </c>
      <c r="G1" s="200" t="s">
        <v>362</v>
      </c>
    </row>
    <row r="2" spans="1:7" ht="23.5" hidden="1">
      <c r="A2" s="253" t="s">
        <v>39</v>
      </c>
      <c r="B2" s="254"/>
      <c r="C2" s="99"/>
      <c r="D2" s="26" t="s">
        <v>95</v>
      </c>
      <c r="E2" s="201" t="s">
        <v>170</v>
      </c>
      <c r="F2" s="202">
        <v>4</v>
      </c>
      <c r="G2" s="203"/>
    </row>
    <row r="3" spans="1:7" ht="23.5" hidden="1">
      <c r="A3" s="98"/>
      <c r="B3" s="99"/>
      <c r="C3" s="99"/>
      <c r="D3" s="26"/>
      <c r="E3" s="201">
        <v>5</v>
      </c>
      <c r="F3" s="202"/>
      <c r="G3" s="203"/>
    </row>
    <row r="4" spans="1:7" ht="23.5">
      <c r="A4" s="255" t="s">
        <v>40</v>
      </c>
      <c r="B4" s="256"/>
      <c r="C4" s="141"/>
      <c r="D4" s="142" t="s">
        <v>96</v>
      </c>
      <c r="E4" s="187">
        <v>5</v>
      </c>
      <c r="F4" s="204">
        <v>1</v>
      </c>
      <c r="G4" s="205"/>
    </row>
    <row r="5" spans="1:7" ht="46.5">
      <c r="A5" s="144" t="s">
        <v>44</v>
      </c>
      <c r="B5" s="12" t="s">
        <v>68</v>
      </c>
      <c r="C5" s="19" t="s">
        <v>194</v>
      </c>
      <c r="D5" s="13" t="s">
        <v>69</v>
      </c>
      <c r="E5" s="170"/>
      <c r="F5" s="206">
        <v>1</v>
      </c>
      <c r="G5" s="179"/>
    </row>
    <row r="6" spans="1:7" ht="46.5">
      <c r="A6" s="144" t="s">
        <v>45</v>
      </c>
      <c r="B6" s="12" t="s">
        <v>282</v>
      </c>
      <c r="C6" s="19" t="s">
        <v>313</v>
      </c>
      <c r="D6" s="13" t="s">
        <v>355</v>
      </c>
      <c r="E6" s="170"/>
      <c r="F6" s="206"/>
      <c r="G6" s="207"/>
    </row>
    <row r="7" spans="1:7" ht="23.5">
      <c r="A7" s="255" t="s">
        <v>41</v>
      </c>
      <c r="B7" s="256"/>
      <c r="C7" s="141"/>
      <c r="D7" s="142" t="s">
        <v>97</v>
      </c>
      <c r="E7" s="187">
        <v>5</v>
      </c>
      <c r="F7" s="202">
        <v>1</v>
      </c>
      <c r="G7" s="205"/>
    </row>
    <row r="8" spans="1:7" ht="31">
      <c r="A8" s="144" t="s">
        <v>46</v>
      </c>
      <c r="B8" s="12" t="s">
        <v>215</v>
      </c>
      <c r="C8" s="19" t="s">
        <v>195</v>
      </c>
      <c r="D8" s="19" t="s">
        <v>357</v>
      </c>
      <c r="E8" s="170"/>
      <c r="F8" s="206">
        <v>1</v>
      </c>
      <c r="G8" s="179"/>
    </row>
    <row r="9" spans="1:7" ht="31">
      <c r="A9" s="144" t="s">
        <v>47</v>
      </c>
      <c r="B9" s="12" t="s">
        <v>285</v>
      </c>
      <c r="C9" s="19" t="s">
        <v>314</v>
      </c>
      <c r="D9" s="19" t="s">
        <v>356</v>
      </c>
      <c r="E9" s="170"/>
      <c r="F9" s="206"/>
      <c r="G9" s="179"/>
    </row>
    <row r="10" spans="1:7" ht="46.5">
      <c r="A10" s="144" t="s">
        <v>286</v>
      </c>
      <c r="B10" s="12" t="s">
        <v>283</v>
      </c>
      <c r="C10" s="19" t="s">
        <v>315</v>
      </c>
      <c r="D10" s="19" t="s">
        <v>284</v>
      </c>
      <c r="E10" s="194"/>
      <c r="F10" s="206">
        <v>1</v>
      </c>
      <c r="G10" s="180"/>
    </row>
    <row r="11" spans="1:7" ht="23.5">
      <c r="A11" s="255" t="s">
        <v>42</v>
      </c>
      <c r="B11" s="256"/>
      <c r="C11" s="141"/>
      <c r="D11" s="142" t="s">
        <v>98</v>
      </c>
      <c r="E11" s="187">
        <v>5</v>
      </c>
      <c r="F11" s="202">
        <v>1</v>
      </c>
      <c r="G11" s="205"/>
    </row>
    <row r="12" spans="1:7" ht="46.5">
      <c r="A12" s="144" t="s">
        <v>48</v>
      </c>
      <c r="B12" s="12" t="s">
        <v>217</v>
      </c>
      <c r="C12" s="19" t="s">
        <v>216</v>
      </c>
      <c r="D12" s="19" t="s">
        <v>99</v>
      </c>
      <c r="E12" s="194"/>
      <c r="F12" s="206">
        <v>1</v>
      </c>
      <c r="G12" s="179"/>
    </row>
    <row r="13" spans="1:7" ht="23.5">
      <c r="A13" s="257" t="s">
        <v>43</v>
      </c>
      <c r="B13" s="258"/>
      <c r="C13" s="145"/>
      <c r="D13" s="146" t="s">
        <v>100</v>
      </c>
      <c r="E13" s="187">
        <v>5</v>
      </c>
      <c r="F13" s="202">
        <v>1</v>
      </c>
      <c r="G13" s="205"/>
    </row>
    <row r="14" spans="1:7" ht="31">
      <c r="A14" s="147" t="s">
        <v>49</v>
      </c>
      <c r="B14" s="6" t="s">
        <v>101</v>
      </c>
      <c r="C14" s="16" t="s">
        <v>230</v>
      </c>
      <c r="D14" s="7" t="s">
        <v>358</v>
      </c>
      <c r="E14" s="170"/>
      <c r="F14" s="206">
        <v>1</v>
      </c>
      <c r="G14" s="180"/>
    </row>
    <row r="15" spans="1:7" ht="62">
      <c r="A15" s="148" t="s">
        <v>50</v>
      </c>
      <c r="B15" s="129" t="s">
        <v>231</v>
      </c>
      <c r="C15" s="130" t="s">
        <v>232</v>
      </c>
      <c r="D15" s="131" t="s">
        <v>295</v>
      </c>
      <c r="E15" s="194"/>
      <c r="F15" s="208">
        <v>1</v>
      </c>
      <c r="G15" s="180"/>
    </row>
    <row r="16" spans="1:7" ht="31">
      <c r="A16" s="143" t="s">
        <v>51</v>
      </c>
      <c r="B16" s="12" t="s">
        <v>218</v>
      </c>
      <c r="C16" s="19" t="s">
        <v>316</v>
      </c>
      <c r="D16" s="127" t="s">
        <v>294</v>
      </c>
      <c r="E16" s="194"/>
      <c r="F16" s="209">
        <v>1</v>
      </c>
      <c r="G16" s="180"/>
    </row>
    <row r="17" spans="7:7">
      <c r="G17" s="211"/>
    </row>
    <row r="18" spans="7:7">
      <c r="G18" s="211"/>
    </row>
    <row r="19" spans="7:7">
      <c r="G19" s="211"/>
    </row>
    <row r="20" spans="7:7">
      <c r="G20" s="211"/>
    </row>
    <row r="21" spans="7:7">
      <c r="G21" s="211"/>
    </row>
    <row r="22" spans="7:7">
      <c r="G22" s="211"/>
    </row>
    <row r="23" spans="7:7">
      <c r="G23" s="211"/>
    </row>
    <row r="24" spans="7:7">
      <c r="G24" s="211"/>
    </row>
    <row r="25" spans="7:7">
      <c r="G25" s="211"/>
    </row>
    <row r="26" spans="7:7">
      <c r="G26" s="211"/>
    </row>
    <row r="27" spans="7:7">
      <c r="G27" s="211"/>
    </row>
    <row r="28" spans="7:7">
      <c r="G28" s="211"/>
    </row>
    <row r="29" spans="7:7">
      <c r="G29" s="211"/>
    </row>
    <row r="30" spans="7:7">
      <c r="G30" s="211"/>
    </row>
    <row r="31" spans="7:7">
      <c r="G31" s="211"/>
    </row>
    <row r="32" spans="7:7">
      <c r="G32" s="211"/>
    </row>
    <row r="33" spans="7:7">
      <c r="G33" s="211"/>
    </row>
    <row r="34" spans="7:7">
      <c r="G34" s="211"/>
    </row>
    <row r="35" spans="7:7">
      <c r="G35" s="211"/>
    </row>
    <row r="36" spans="7:7">
      <c r="G36" s="211"/>
    </row>
    <row r="37" spans="7:7">
      <c r="G37" s="211"/>
    </row>
    <row r="38" spans="7:7">
      <c r="G38" s="211"/>
    </row>
    <row r="39" spans="7:7">
      <c r="G39" s="211"/>
    </row>
    <row r="40" spans="7:7">
      <c r="G40" s="211"/>
    </row>
    <row r="41" spans="7:7">
      <c r="G41" s="211"/>
    </row>
    <row r="42" spans="7:7">
      <c r="G42" s="211"/>
    </row>
    <row r="43" spans="7:7">
      <c r="G43" s="211"/>
    </row>
    <row r="44" spans="7:7">
      <c r="G44" s="211"/>
    </row>
    <row r="45" spans="7:7">
      <c r="G45" s="211"/>
    </row>
    <row r="46" spans="7:7">
      <c r="G46" s="211"/>
    </row>
    <row r="47" spans="7:7">
      <c r="G47" s="211"/>
    </row>
    <row r="48" spans="7:7">
      <c r="G48" s="211"/>
    </row>
    <row r="49" spans="7:7">
      <c r="G49" s="211"/>
    </row>
    <row r="50" spans="7:7">
      <c r="G50" s="211"/>
    </row>
    <row r="51" spans="7:7">
      <c r="G51" s="211"/>
    </row>
    <row r="52" spans="7:7">
      <c r="G52" s="211"/>
    </row>
    <row r="53" spans="7:7">
      <c r="G53" s="211"/>
    </row>
    <row r="54" spans="7:7">
      <c r="G54" s="211"/>
    </row>
    <row r="55" spans="7:7">
      <c r="G55" s="211"/>
    </row>
    <row r="56" spans="7:7">
      <c r="G56" s="211"/>
    </row>
    <row r="57" spans="7:7">
      <c r="G57" s="211"/>
    </row>
    <row r="58" spans="7:7">
      <c r="G58" s="211"/>
    </row>
    <row r="59" spans="7:7">
      <c r="G59" s="211"/>
    </row>
    <row r="60" spans="7:7">
      <c r="G60" s="211"/>
    </row>
    <row r="61" spans="7:7">
      <c r="G61" s="211"/>
    </row>
    <row r="62" spans="7:7">
      <c r="G62" s="211"/>
    </row>
    <row r="63" spans="7:7">
      <c r="G63" s="211"/>
    </row>
    <row r="64" spans="7:7">
      <c r="G64" s="211"/>
    </row>
    <row r="65" spans="7:7">
      <c r="G65" s="211"/>
    </row>
    <row r="66" spans="7:7">
      <c r="G66" s="211"/>
    </row>
    <row r="67" spans="7:7">
      <c r="G67" s="211"/>
    </row>
    <row r="68" spans="7:7">
      <c r="G68" s="211"/>
    </row>
    <row r="69" spans="7:7">
      <c r="G69" s="211"/>
    </row>
    <row r="70" spans="7:7">
      <c r="G70" s="211"/>
    </row>
    <row r="71" spans="7:7">
      <c r="G71" s="211"/>
    </row>
    <row r="72" spans="7:7">
      <c r="G72" s="211"/>
    </row>
    <row r="73" spans="7:7">
      <c r="G73" s="211"/>
    </row>
    <row r="74" spans="7:7">
      <c r="G74" s="211"/>
    </row>
    <row r="75" spans="7:7">
      <c r="G75" s="211"/>
    </row>
    <row r="76" spans="7:7">
      <c r="G76" s="211"/>
    </row>
    <row r="77" spans="7:7">
      <c r="G77" s="211"/>
    </row>
    <row r="78" spans="7:7">
      <c r="G78" s="211"/>
    </row>
    <row r="79" spans="7:7">
      <c r="G79" s="211"/>
    </row>
    <row r="80" spans="7:7">
      <c r="G80" s="211"/>
    </row>
    <row r="81" spans="7:7">
      <c r="G81" s="211"/>
    </row>
    <row r="82" spans="7:7">
      <c r="G82" s="211"/>
    </row>
    <row r="83" spans="7:7">
      <c r="G83" s="211"/>
    </row>
    <row r="84" spans="7:7">
      <c r="G84" s="211"/>
    </row>
    <row r="85" spans="7:7">
      <c r="G85" s="211"/>
    </row>
    <row r="86" spans="7:7">
      <c r="G86" s="211"/>
    </row>
    <row r="87" spans="7:7">
      <c r="G87" s="211"/>
    </row>
    <row r="88" spans="7:7">
      <c r="G88" s="211"/>
    </row>
    <row r="89" spans="7:7">
      <c r="G89" s="211"/>
    </row>
    <row r="90" spans="7:7">
      <c r="G90" s="211"/>
    </row>
    <row r="91" spans="7:7">
      <c r="G91" s="211"/>
    </row>
    <row r="92" spans="7:7">
      <c r="G92" s="211"/>
    </row>
    <row r="93" spans="7:7">
      <c r="G93" s="211"/>
    </row>
    <row r="94" spans="7:7">
      <c r="G94" s="211"/>
    </row>
    <row r="95" spans="7:7">
      <c r="G95" s="211"/>
    </row>
    <row r="96" spans="7:7">
      <c r="G96" s="211"/>
    </row>
    <row r="97" spans="7:7">
      <c r="G97" s="211"/>
    </row>
    <row r="98" spans="7:7">
      <c r="G98" s="211"/>
    </row>
    <row r="99" spans="7:7">
      <c r="G99" s="211"/>
    </row>
    <row r="100" spans="7:7">
      <c r="G100" s="211"/>
    </row>
    <row r="101" spans="7:7">
      <c r="G101" s="211"/>
    </row>
    <row r="102" spans="7:7">
      <c r="G102" s="211"/>
    </row>
    <row r="103" spans="7:7">
      <c r="G103" s="211"/>
    </row>
    <row r="104" spans="7:7">
      <c r="G104" s="211"/>
    </row>
    <row r="105" spans="7:7">
      <c r="G105" s="211"/>
    </row>
    <row r="106" spans="7:7">
      <c r="G106" s="211"/>
    </row>
    <row r="107" spans="7:7">
      <c r="G107" s="211"/>
    </row>
    <row r="108" spans="7:7">
      <c r="G108" s="211"/>
    </row>
    <row r="109" spans="7:7">
      <c r="G109" s="211"/>
    </row>
    <row r="110" spans="7:7">
      <c r="G110" s="211"/>
    </row>
    <row r="111" spans="7:7">
      <c r="G111" s="211"/>
    </row>
    <row r="112" spans="7:7">
      <c r="G112" s="211"/>
    </row>
    <row r="113" spans="7:7">
      <c r="G113" s="211"/>
    </row>
    <row r="114" spans="7:7">
      <c r="G114" s="211"/>
    </row>
    <row r="115" spans="7:7">
      <c r="G115" s="211"/>
    </row>
    <row r="116" spans="7:7">
      <c r="G116" s="211"/>
    </row>
    <row r="117" spans="7:7">
      <c r="G117" s="211"/>
    </row>
    <row r="118" spans="7:7">
      <c r="G118" s="211"/>
    </row>
    <row r="119" spans="7:7">
      <c r="G119" s="211"/>
    </row>
    <row r="120" spans="7:7">
      <c r="G120" s="211"/>
    </row>
    <row r="121" spans="7:7">
      <c r="G121" s="211"/>
    </row>
    <row r="122" spans="7:7">
      <c r="G122" s="211"/>
    </row>
    <row r="123" spans="7:7">
      <c r="G123" s="211"/>
    </row>
    <row r="124" spans="7:7">
      <c r="G124" s="211"/>
    </row>
    <row r="125" spans="7:7">
      <c r="G125" s="211"/>
    </row>
    <row r="126" spans="7:7">
      <c r="G126" s="211"/>
    </row>
    <row r="127" spans="7:7">
      <c r="G127" s="211"/>
    </row>
    <row r="128" spans="7:7">
      <c r="G128" s="211"/>
    </row>
    <row r="129" spans="7:7">
      <c r="G129" s="211"/>
    </row>
    <row r="130" spans="7:7">
      <c r="G130" s="211"/>
    </row>
    <row r="131" spans="7:7">
      <c r="G131" s="211"/>
    </row>
    <row r="132" spans="7:7">
      <c r="G132" s="211"/>
    </row>
    <row r="133" spans="7:7">
      <c r="G133" s="211"/>
    </row>
    <row r="134" spans="7:7">
      <c r="G134" s="211"/>
    </row>
    <row r="135" spans="7:7">
      <c r="G135" s="211"/>
    </row>
    <row r="136" spans="7:7">
      <c r="G136" s="211"/>
    </row>
    <row r="137" spans="7:7">
      <c r="G137" s="211"/>
    </row>
    <row r="138" spans="7:7">
      <c r="G138" s="211"/>
    </row>
    <row r="139" spans="7:7">
      <c r="G139" s="211"/>
    </row>
    <row r="140" spans="7:7">
      <c r="G140" s="211"/>
    </row>
    <row r="141" spans="7:7">
      <c r="G141" s="211"/>
    </row>
    <row r="142" spans="7:7">
      <c r="G142" s="211"/>
    </row>
  </sheetData>
  <sheetProtection algorithmName="SHA-512" hashValue="MlZFKtpbJ+DJuBQkLAVvPjOAWHn+XiUnxyrCrW8w2jW5UuZrY1/uh6iNfnQ5QtiXm5vFgH5xPt5u8Q9aEY9v1w==" saltValue="+H6Q3EFmU3bjxvp33QkC2Q==" spinCount="100000" sheet="1" objects="1" scenarios="1"/>
  <autoFilter ref="A1:G16" xr:uid="{00000000-0009-0000-0000-000003000000}"/>
  <mergeCells count="5">
    <mergeCell ref="A2:B2"/>
    <mergeCell ref="A4:B4"/>
    <mergeCell ref="A7:B7"/>
    <mergeCell ref="A11:B11"/>
    <mergeCell ref="A13:B13"/>
  </mergeCells>
  <phoneticPr fontId="4"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9" r:id="rId3" name="Drop Down 9">
              <controlPr defaultSize="0" autoLine="0" autoPict="0">
                <anchor moveWithCells="1">
                  <from>
                    <xdr:col>4</xdr:col>
                    <xdr:colOff>0</xdr:colOff>
                    <xdr:row>4</xdr:row>
                    <xdr:rowOff>114300</xdr:rowOff>
                  </from>
                  <to>
                    <xdr:col>6</xdr:col>
                    <xdr:colOff>12700</xdr:colOff>
                    <xdr:row>4</xdr:row>
                    <xdr:rowOff>317500</xdr:rowOff>
                  </to>
                </anchor>
              </controlPr>
            </control>
          </mc:Choice>
        </mc:AlternateContent>
        <mc:AlternateContent xmlns:mc="http://schemas.openxmlformats.org/markup-compatibility/2006">
          <mc:Choice Requires="x14">
            <control shapeId="5132" r:id="rId4" name="Drop Down 12">
              <controlPr defaultSize="0" autoLine="0" autoPict="0">
                <anchor moveWithCells="1">
                  <from>
                    <xdr:col>3</xdr:col>
                    <xdr:colOff>6229350</xdr:colOff>
                    <xdr:row>7</xdr:row>
                    <xdr:rowOff>57150</xdr:rowOff>
                  </from>
                  <to>
                    <xdr:col>4</xdr:col>
                    <xdr:colOff>1504950</xdr:colOff>
                    <xdr:row>7</xdr:row>
                    <xdr:rowOff>266700</xdr:rowOff>
                  </to>
                </anchor>
              </controlPr>
            </control>
          </mc:Choice>
        </mc:AlternateContent>
        <mc:AlternateContent xmlns:mc="http://schemas.openxmlformats.org/markup-compatibility/2006">
          <mc:Choice Requires="x14">
            <control shapeId="5134" r:id="rId5" name="Drop Down 14">
              <controlPr defaultSize="0" autoLine="0" autoPict="0">
                <anchor moveWithCells="1">
                  <from>
                    <xdr:col>3</xdr:col>
                    <xdr:colOff>6248400</xdr:colOff>
                    <xdr:row>11</xdr:row>
                    <xdr:rowOff>0</xdr:rowOff>
                  </from>
                  <to>
                    <xdr:col>4</xdr:col>
                    <xdr:colOff>1517650</xdr:colOff>
                    <xdr:row>11</xdr:row>
                    <xdr:rowOff>203200</xdr:rowOff>
                  </to>
                </anchor>
              </controlPr>
            </control>
          </mc:Choice>
        </mc:AlternateContent>
        <mc:AlternateContent xmlns:mc="http://schemas.openxmlformats.org/markup-compatibility/2006">
          <mc:Choice Requires="x14">
            <control shapeId="5135" r:id="rId6" name="Drop Down 15">
              <controlPr defaultSize="0" autoLine="0" autoPict="0">
                <anchor moveWithCells="1">
                  <from>
                    <xdr:col>3</xdr:col>
                    <xdr:colOff>6242050</xdr:colOff>
                    <xdr:row>13</xdr:row>
                    <xdr:rowOff>12700</xdr:rowOff>
                  </from>
                  <to>
                    <xdr:col>6</xdr:col>
                    <xdr:colOff>50800</xdr:colOff>
                    <xdr:row>13</xdr:row>
                    <xdr:rowOff>260350</xdr:rowOff>
                  </to>
                </anchor>
              </controlPr>
            </control>
          </mc:Choice>
        </mc:AlternateContent>
        <mc:AlternateContent xmlns:mc="http://schemas.openxmlformats.org/markup-compatibility/2006">
          <mc:Choice Requires="x14">
            <control shapeId="5138" r:id="rId7" name="Drop Down 18">
              <controlPr defaultSize="0" autoLine="0" autoPict="0">
                <anchor moveWithCells="1">
                  <from>
                    <xdr:col>4</xdr:col>
                    <xdr:colOff>0</xdr:colOff>
                    <xdr:row>15</xdr:row>
                    <xdr:rowOff>57150</xdr:rowOff>
                  </from>
                  <to>
                    <xdr:col>5</xdr:col>
                    <xdr:colOff>12700</xdr:colOff>
                    <xdr:row>15</xdr:row>
                    <xdr:rowOff>260350</xdr:rowOff>
                  </to>
                </anchor>
              </controlPr>
            </control>
          </mc:Choice>
        </mc:AlternateContent>
        <mc:AlternateContent xmlns:mc="http://schemas.openxmlformats.org/markup-compatibility/2006">
          <mc:Choice Requires="x14">
            <control shapeId="5141" r:id="rId8" name="Drop Down 21">
              <controlPr defaultSize="0" autoLine="0" autoPict="0">
                <anchor moveWithCells="1">
                  <from>
                    <xdr:col>3</xdr:col>
                    <xdr:colOff>6248400</xdr:colOff>
                    <xdr:row>5</xdr:row>
                    <xdr:rowOff>31750</xdr:rowOff>
                  </from>
                  <to>
                    <xdr:col>4</xdr:col>
                    <xdr:colOff>1504950</xdr:colOff>
                    <xdr:row>5</xdr:row>
                    <xdr:rowOff>260350</xdr:rowOff>
                  </to>
                </anchor>
              </controlPr>
            </control>
          </mc:Choice>
        </mc:AlternateContent>
        <mc:AlternateContent xmlns:mc="http://schemas.openxmlformats.org/markup-compatibility/2006">
          <mc:Choice Requires="x14">
            <control shapeId="5144" r:id="rId9" name="Drop Down 24">
              <controlPr defaultSize="0" autoLine="0" autoPict="0">
                <anchor moveWithCells="1">
                  <from>
                    <xdr:col>4</xdr:col>
                    <xdr:colOff>0</xdr:colOff>
                    <xdr:row>8</xdr:row>
                    <xdr:rowOff>114300</xdr:rowOff>
                  </from>
                  <to>
                    <xdr:col>6</xdr:col>
                    <xdr:colOff>12700</xdr:colOff>
                    <xdr:row>8</xdr:row>
                    <xdr:rowOff>317500</xdr:rowOff>
                  </to>
                </anchor>
              </controlPr>
            </control>
          </mc:Choice>
        </mc:AlternateContent>
        <mc:AlternateContent xmlns:mc="http://schemas.openxmlformats.org/markup-compatibility/2006">
          <mc:Choice Requires="x14">
            <control shapeId="5145" r:id="rId10" name="Drop Down 25">
              <controlPr defaultSize="0" autoLine="0" autoPict="0">
                <anchor moveWithCells="1">
                  <from>
                    <xdr:col>3</xdr:col>
                    <xdr:colOff>6248400</xdr:colOff>
                    <xdr:row>9</xdr:row>
                    <xdr:rowOff>95250</xdr:rowOff>
                  </from>
                  <to>
                    <xdr:col>5</xdr:col>
                    <xdr:colOff>12700</xdr:colOff>
                    <xdr:row>9</xdr:row>
                    <xdr:rowOff>298450</xdr:rowOff>
                  </to>
                </anchor>
              </controlPr>
            </control>
          </mc:Choice>
        </mc:AlternateContent>
        <mc:AlternateContent xmlns:mc="http://schemas.openxmlformats.org/markup-compatibility/2006">
          <mc:Choice Requires="x14">
            <control shapeId="5146" r:id="rId11" name="Drop Down 26">
              <controlPr defaultSize="0" autoLine="0" autoPict="0">
                <anchor moveWithCells="1">
                  <from>
                    <xdr:col>4</xdr:col>
                    <xdr:colOff>0</xdr:colOff>
                    <xdr:row>14</xdr:row>
                    <xdr:rowOff>0</xdr:rowOff>
                  </from>
                  <to>
                    <xdr:col>6</xdr:col>
                    <xdr:colOff>0</xdr:colOff>
                    <xdr:row>14</xdr:row>
                    <xdr:rowOff>203200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0A600"/>
  </sheetPr>
  <dimension ref="A1:G15"/>
  <sheetViews>
    <sheetView zoomScaleNormal="100" workbookViewId="0">
      <pane ySplit="1" topLeftCell="A2" activePane="bottomLeft" state="frozen"/>
      <selection activeCell="B15" sqref="B15"/>
      <selection pane="bottomLeft" activeCell="G11" sqref="G11"/>
    </sheetView>
  </sheetViews>
  <sheetFormatPr defaultColWidth="10.83203125" defaultRowHeight="15.5"/>
  <cols>
    <col min="1" max="1" width="5.5" style="2" customWidth="1"/>
    <col min="2" max="3" width="36" style="4" customWidth="1"/>
    <col min="4" max="4" width="73.5" style="2" customWidth="1"/>
    <col min="5" max="5" width="20.08203125" style="178" customWidth="1"/>
    <col min="6" max="6" width="16.5" style="178" hidden="1" customWidth="1"/>
    <col min="7" max="7" width="54.5" style="179" customWidth="1"/>
    <col min="8" max="16384" width="10.83203125" style="2"/>
  </cols>
  <sheetData>
    <row r="1" spans="1:7" s="1" customFormat="1" ht="24" thickBot="1">
      <c r="A1" s="20" t="s">
        <v>14</v>
      </c>
      <c r="B1" s="80"/>
      <c r="C1" s="80" t="s">
        <v>183</v>
      </c>
      <c r="D1" s="80" t="s">
        <v>331</v>
      </c>
      <c r="E1" s="213" t="s">
        <v>186</v>
      </c>
      <c r="F1" s="214" t="s">
        <v>192</v>
      </c>
      <c r="G1" s="215" t="s">
        <v>359</v>
      </c>
    </row>
    <row r="2" spans="1:7">
      <c r="A2" s="14"/>
      <c r="B2" s="12"/>
      <c r="C2" s="19"/>
      <c r="D2" s="13"/>
      <c r="E2" s="216" t="s">
        <v>170</v>
      </c>
      <c r="F2" s="217"/>
      <c r="G2" s="218"/>
    </row>
    <row r="3" spans="1:7" ht="21" customHeight="1">
      <c r="A3" s="259" t="s">
        <v>15</v>
      </c>
      <c r="B3" s="260"/>
      <c r="C3" s="120"/>
      <c r="D3" s="27" t="s">
        <v>102</v>
      </c>
      <c r="E3" s="219">
        <v>5</v>
      </c>
      <c r="F3" s="220">
        <v>1</v>
      </c>
      <c r="G3" s="221"/>
    </row>
    <row r="4" spans="1:7" ht="46.5">
      <c r="A4" s="236" t="s">
        <v>20</v>
      </c>
      <c r="B4" s="12" t="s">
        <v>71</v>
      </c>
      <c r="C4" s="19" t="s">
        <v>102</v>
      </c>
      <c r="D4" s="13" t="s">
        <v>319</v>
      </c>
      <c r="E4" s="170"/>
      <c r="F4" s="217">
        <v>1</v>
      </c>
      <c r="G4" s="218"/>
    </row>
    <row r="5" spans="1:7" ht="21">
      <c r="A5" s="259" t="s">
        <v>272</v>
      </c>
      <c r="B5" s="260"/>
      <c r="C5" s="100"/>
      <c r="D5" s="27" t="s">
        <v>353</v>
      </c>
      <c r="E5" s="219">
        <v>5</v>
      </c>
      <c r="F5" s="220"/>
      <c r="G5" s="221"/>
    </row>
    <row r="6" spans="1:7" ht="62">
      <c r="A6" s="236" t="s">
        <v>21</v>
      </c>
      <c r="B6" s="12" t="s">
        <v>320</v>
      </c>
      <c r="C6" s="19" t="s">
        <v>321</v>
      </c>
      <c r="D6" s="13" t="s">
        <v>352</v>
      </c>
      <c r="E6" s="170"/>
      <c r="F6" s="217">
        <v>3</v>
      </c>
      <c r="G6" s="222"/>
    </row>
    <row r="7" spans="1:7" ht="46.5">
      <c r="A7" s="236" t="s">
        <v>22</v>
      </c>
      <c r="B7" s="12" t="s">
        <v>269</v>
      </c>
      <c r="C7" s="19" t="s">
        <v>270</v>
      </c>
      <c r="D7" s="13" t="s">
        <v>271</v>
      </c>
      <c r="E7" s="170"/>
      <c r="F7" s="217"/>
      <c r="G7" s="222"/>
    </row>
    <row r="8" spans="1:7" ht="21">
      <c r="A8" s="259" t="s">
        <v>16</v>
      </c>
      <c r="B8" s="260"/>
      <c r="C8" s="100"/>
      <c r="D8" s="27"/>
      <c r="E8" s="219">
        <v>5</v>
      </c>
      <c r="F8" s="220"/>
      <c r="G8" s="221"/>
    </row>
    <row r="9" spans="1:7" ht="46.5">
      <c r="A9" s="236" t="s">
        <v>33</v>
      </c>
      <c r="B9" s="116" t="s">
        <v>219</v>
      </c>
      <c r="C9" s="19" t="s">
        <v>289</v>
      </c>
      <c r="D9" s="19" t="s">
        <v>291</v>
      </c>
      <c r="E9" s="194"/>
      <c r="F9" s="217">
        <v>1</v>
      </c>
      <c r="G9" s="180"/>
    </row>
    <row r="10" spans="1:7" ht="21">
      <c r="A10" s="259" t="s">
        <v>229</v>
      </c>
      <c r="B10" s="260"/>
      <c r="C10" s="100"/>
      <c r="D10" s="100"/>
      <c r="E10" s="219">
        <v>5</v>
      </c>
      <c r="F10" s="220"/>
      <c r="G10" s="221"/>
    </row>
    <row r="11" spans="1:7" ht="31">
      <c r="A11" s="236" t="s">
        <v>17</v>
      </c>
      <c r="B11" s="12" t="s">
        <v>220</v>
      </c>
      <c r="C11" s="19" t="s">
        <v>290</v>
      </c>
      <c r="D11" s="13" t="s">
        <v>317</v>
      </c>
      <c r="E11" s="170"/>
      <c r="F11" s="217"/>
      <c r="G11" s="223"/>
    </row>
    <row r="12" spans="1:7" ht="46.5">
      <c r="A12" s="236" t="s">
        <v>18</v>
      </c>
      <c r="B12" s="12" t="s">
        <v>221</v>
      </c>
      <c r="C12" s="19" t="s">
        <v>223</v>
      </c>
      <c r="D12" s="13" t="s">
        <v>292</v>
      </c>
      <c r="E12" s="194"/>
      <c r="F12" s="217"/>
      <c r="G12" s="223"/>
    </row>
    <row r="13" spans="1:7" ht="21">
      <c r="A13" s="259" t="s">
        <v>19</v>
      </c>
      <c r="B13" s="260"/>
      <c r="C13" s="100"/>
      <c r="D13" s="27" t="s">
        <v>103</v>
      </c>
      <c r="E13" s="219">
        <v>5</v>
      </c>
      <c r="F13" s="220"/>
      <c r="G13" s="221"/>
    </row>
    <row r="14" spans="1:7" ht="31">
      <c r="A14" s="236" t="s">
        <v>23</v>
      </c>
      <c r="B14" s="12" t="s">
        <v>72</v>
      </c>
      <c r="C14" s="19" t="s">
        <v>318</v>
      </c>
      <c r="D14" s="13" t="s">
        <v>293</v>
      </c>
      <c r="E14" s="170"/>
      <c r="F14" s="217">
        <v>1</v>
      </c>
    </row>
    <row r="15" spans="1:7" ht="46.5">
      <c r="A15" s="236" t="s">
        <v>24</v>
      </c>
      <c r="B15" s="12" t="s">
        <v>222</v>
      </c>
      <c r="C15" s="19" t="s">
        <v>224</v>
      </c>
      <c r="D15" s="19" t="s">
        <v>354</v>
      </c>
      <c r="E15" s="170"/>
      <c r="F15" s="217">
        <v>1</v>
      </c>
    </row>
  </sheetData>
  <sheetProtection algorithmName="SHA-512" hashValue="Kgulk0M3DQvdXR5gkK6ogapp8kpA0tyNzQKS5MCd6EPg48I+dggrAallpU8B65rxo/wTRCqJcv6XP7/C0Y3d4A==" saltValue="BkvNrVh38s8dro6u3ZqeWQ==" spinCount="100000" sheet="1" objects="1" scenarios="1"/>
  <autoFilter ref="A1:G15" xr:uid="{00000000-0009-0000-0000-000004000000}"/>
  <mergeCells count="5">
    <mergeCell ref="A3:B3"/>
    <mergeCell ref="A5:B5"/>
    <mergeCell ref="A8:B8"/>
    <mergeCell ref="A10:B10"/>
    <mergeCell ref="A13:B13"/>
  </mergeCells>
  <phoneticPr fontId="4"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171" r:id="rId3" name="Drop Down 3">
              <controlPr defaultSize="0" autoLine="0" autoPict="0">
                <anchor moveWithCells="1">
                  <from>
                    <xdr:col>4</xdr:col>
                    <xdr:colOff>12700</xdr:colOff>
                    <xdr:row>3</xdr:row>
                    <xdr:rowOff>12700</xdr:rowOff>
                  </from>
                  <to>
                    <xdr:col>6</xdr:col>
                    <xdr:colOff>0</xdr:colOff>
                    <xdr:row>3</xdr:row>
                    <xdr:rowOff>222250</xdr:rowOff>
                  </to>
                </anchor>
              </controlPr>
            </control>
          </mc:Choice>
        </mc:AlternateContent>
        <mc:AlternateContent xmlns:mc="http://schemas.openxmlformats.org/markup-compatibility/2006">
          <mc:Choice Requires="x14">
            <control shapeId="7173" r:id="rId4" name="Drop Down 5">
              <controlPr defaultSize="0" autoLine="0" autoPict="0">
                <anchor moveWithCells="1">
                  <from>
                    <xdr:col>4</xdr:col>
                    <xdr:colOff>12700</xdr:colOff>
                    <xdr:row>5</xdr:row>
                    <xdr:rowOff>12700</xdr:rowOff>
                  </from>
                  <to>
                    <xdr:col>6</xdr:col>
                    <xdr:colOff>0</xdr:colOff>
                    <xdr:row>5</xdr:row>
                    <xdr:rowOff>222250</xdr:rowOff>
                  </to>
                </anchor>
              </controlPr>
            </control>
          </mc:Choice>
        </mc:AlternateContent>
        <mc:AlternateContent xmlns:mc="http://schemas.openxmlformats.org/markup-compatibility/2006">
          <mc:Choice Requires="x14">
            <control shapeId="7177" r:id="rId5" name="Drop Down 9">
              <controlPr defaultSize="0" autoLine="0" autoPict="0">
                <anchor moveWithCells="1">
                  <from>
                    <xdr:col>3</xdr:col>
                    <xdr:colOff>5581650</xdr:colOff>
                    <xdr:row>8</xdr:row>
                    <xdr:rowOff>12700</xdr:rowOff>
                  </from>
                  <to>
                    <xdr:col>5</xdr:col>
                    <xdr:colOff>0</xdr:colOff>
                    <xdr:row>8</xdr:row>
                    <xdr:rowOff>266700</xdr:rowOff>
                  </to>
                </anchor>
              </controlPr>
            </control>
          </mc:Choice>
        </mc:AlternateContent>
        <mc:AlternateContent xmlns:mc="http://schemas.openxmlformats.org/markup-compatibility/2006">
          <mc:Choice Requires="x14">
            <control shapeId="7178" r:id="rId6" name="Drop Down 10">
              <controlPr defaultSize="0" autoLine="0" autoPict="0">
                <anchor moveWithCells="1">
                  <from>
                    <xdr:col>4</xdr:col>
                    <xdr:colOff>12700</xdr:colOff>
                    <xdr:row>10</xdr:row>
                    <xdr:rowOff>12700</xdr:rowOff>
                  </from>
                  <to>
                    <xdr:col>6</xdr:col>
                    <xdr:colOff>0</xdr:colOff>
                    <xdr:row>10</xdr:row>
                    <xdr:rowOff>222250</xdr:rowOff>
                  </to>
                </anchor>
              </controlPr>
            </control>
          </mc:Choice>
        </mc:AlternateContent>
        <mc:AlternateContent xmlns:mc="http://schemas.openxmlformats.org/markup-compatibility/2006">
          <mc:Choice Requires="x14">
            <control shapeId="7179" r:id="rId7" name="Drop Down 11">
              <controlPr defaultSize="0" autoLine="0" autoPict="0">
                <anchor moveWithCells="1">
                  <from>
                    <xdr:col>4</xdr:col>
                    <xdr:colOff>12700</xdr:colOff>
                    <xdr:row>11</xdr:row>
                    <xdr:rowOff>12700</xdr:rowOff>
                  </from>
                  <to>
                    <xdr:col>6</xdr:col>
                    <xdr:colOff>0</xdr:colOff>
                    <xdr:row>11</xdr:row>
                    <xdr:rowOff>222250</xdr:rowOff>
                  </to>
                </anchor>
              </controlPr>
            </control>
          </mc:Choice>
        </mc:AlternateContent>
        <mc:AlternateContent xmlns:mc="http://schemas.openxmlformats.org/markup-compatibility/2006">
          <mc:Choice Requires="x14">
            <control shapeId="7180" r:id="rId8" name="Drop Down 12">
              <controlPr defaultSize="0" autoLine="0" autoPict="0">
                <anchor moveWithCells="1">
                  <from>
                    <xdr:col>4</xdr:col>
                    <xdr:colOff>12700</xdr:colOff>
                    <xdr:row>13</xdr:row>
                    <xdr:rowOff>12700</xdr:rowOff>
                  </from>
                  <to>
                    <xdr:col>6</xdr:col>
                    <xdr:colOff>0</xdr:colOff>
                    <xdr:row>13</xdr:row>
                    <xdr:rowOff>222250</xdr:rowOff>
                  </to>
                </anchor>
              </controlPr>
            </control>
          </mc:Choice>
        </mc:AlternateContent>
        <mc:AlternateContent xmlns:mc="http://schemas.openxmlformats.org/markup-compatibility/2006">
          <mc:Choice Requires="x14">
            <control shapeId="7181" r:id="rId9" name="Drop Down 13">
              <controlPr defaultSize="0" autoLine="0" autoPict="0">
                <anchor moveWithCells="1">
                  <from>
                    <xdr:col>4</xdr:col>
                    <xdr:colOff>12700</xdr:colOff>
                    <xdr:row>14</xdr:row>
                    <xdr:rowOff>12700</xdr:rowOff>
                  </from>
                  <to>
                    <xdr:col>6</xdr:col>
                    <xdr:colOff>0</xdr:colOff>
                    <xdr:row>14</xdr:row>
                    <xdr:rowOff>222250</xdr:rowOff>
                  </to>
                </anchor>
              </controlPr>
            </control>
          </mc:Choice>
        </mc:AlternateContent>
        <mc:AlternateContent xmlns:mc="http://schemas.openxmlformats.org/markup-compatibility/2006">
          <mc:Choice Requires="x14">
            <control shapeId="7182" r:id="rId10" name="Drop Down 14">
              <controlPr defaultSize="0" autoLine="0" autoPict="0">
                <anchor moveWithCells="1">
                  <from>
                    <xdr:col>4</xdr:col>
                    <xdr:colOff>12700</xdr:colOff>
                    <xdr:row>6</xdr:row>
                    <xdr:rowOff>12700</xdr:rowOff>
                  </from>
                  <to>
                    <xdr:col>6</xdr:col>
                    <xdr:colOff>0</xdr:colOff>
                    <xdr:row>6</xdr:row>
                    <xdr:rowOff>222250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2ADF0"/>
  </sheetPr>
  <dimension ref="A1:G13"/>
  <sheetViews>
    <sheetView zoomScaleNormal="100" workbookViewId="0">
      <pane ySplit="1" topLeftCell="A2" activePane="bottomLeft" state="frozen"/>
      <selection activeCell="B15" sqref="B15"/>
      <selection pane="bottomLeft" activeCell="G1" sqref="G1"/>
    </sheetView>
  </sheetViews>
  <sheetFormatPr defaultColWidth="10.83203125" defaultRowHeight="15.5"/>
  <cols>
    <col min="1" max="1" width="5.5" style="1" customWidth="1"/>
    <col min="2" max="2" width="34.5" style="4" customWidth="1"/>
    <col min="3" max="3" width="52.5" style="4" customWidth="1"/>
    <col min="4" max="4" width="66.58203125" style="2" customWidth="1"/>
    <col min="5" max="5" width="20.33203125" style="178" customWidth="1"/>
    <col min="6" max="6" width="16.5" style="210" hidden="1" customWidth="1"/>
    <col min="7" max="7" width="40.33203125" style="212" customWidth="1"/>
    <col min="8" max="16384" width="10.83203125" style="1"/>
  </cols>
  <sheetData>
    <row r="1" spans="1:7" ht="31">
      <c r="A1" s="21" t="s">
        <v>52</v>
      </c>
      <c r="B1" s="22"/>
      <c r="C1" s="22" t="s">
        <v>183</v>
      </c>
      <c r="D1" s="22" t="s">
        <v>331</v>
      </c>
      <c r="E1" s="224" t="s">
        <v>186</v>
      </c>
      <c r="F1" s="225" t="s">
        <v>201</v>
      </c>
      <c r="G1" s="226" t="s">
        <v>359</v>
      </c>
    </row>
    <row r="2" spans="1:7" ht="31">
      <c r="A2" s="261" t="s">
        <v>53</v>
      </c>
      <c r="B2" s="262"/>
      <c r="C2" s="101"/>
      <c r="D2" s="28" t="s">
        <v>287</v>
      </c>
      <c r="E2" s="227">
        <v>5</v>
      </c>
      <c r="F2" s="228">
        <v>1</v>
      </c>
      <c r="G2" s="229"/>
    </row>
    <row r="3" spans="1:7" ht="46.5">
      <c r="A3" s="238" t="s">
        <v>56</v>
      </c>
      <c r="B3" s="12" t="s">
        <v>73</v>
      </c>
      <c r="C3" s="19" t="s">
        <v>198</v>
      </c>
      <c r="D3" s="19" t="s">
        <v>228</v>
      </c>
      <c r="E3" s="170"/>
      <c r="F3" s="206">
        <v>1</v>
      </c>
      <c r="G3" s="179"/>
    </row>
    <row r="4" spans="1:7" ht="46.5">
      <c r="A4" s="238" t="s">
        <v>57</v>
      </c>
      <c r="B4" s="12" t="s">
        <v>259</v>
      </c>
      <c r="C4" s="19" t="s">
        <v>257</v>
      </c>
      <c r="D4" s="19" t="s">
        <v>258</v>
      </c>
      <c r="E4" s="170"/>
      <c r="F4" s="206"/>
      <c r="G4" s="179"/>
    </row>
    <row r="5" spans="1:7" ht="31">
      <c r="A5" s="238" t="s">
        <v>267</v>
      </c>
      <c r="B5" s="12" t="s">
        <v>225</v>
      </c>
      <c r="C5" s="19" t="s">
        <v>226</v>
      </c>
      <c r="D5" s="19" t="s">
        <v>227</v>
      </c>
      <c r="E5" s="194"/>
      <c r="F5" s="206">
        <v>1</v>
      </c>
      <c r="G5" s="179"/>
    </row>
    <row r="6" spans="1:7">
      <c r="A6" s="261" t="s">
        <v>54</v>
      </c>
      <c r="B6" s="262"/>
      <c r="C6" s="101"/>
      <c r="D6" s="28" t="s">
        <v>288</v>
      </c>
      <c r="E6" s="227">
        <v>5</v>
      </c>
      <c r="F6" s="228">
        <v>1</v>
      </c>
      <c r="G6" s="229"/>
    </row>
    <row r="7" spans="1:7" ht="77.5">
      <c r="A7" s="238" t="s">
        <v>58</v>
      </c>
      <c r="B7" s="12" t="s">
        <v>212</v>
      </c>
      <c r="C7" s="19" t="s">
        <v>199</v>
      </c>
      <c r="D7" s="19" t="s">
        <v>191</v>
      </c>
      <c r="E7" s="194"/>
      <c r="F7" s="206">
        <v>1</v>
      </c>
      <c r="G7" s="179"/>
    </row>
    <row r="8" spans="1:7" ht="62">
      <c r="A8" s="238" t="s">
        <v>59</v>
      </c>
      <c r="B8" s="12" t="s">
        <v>323</v>
      </c>
      <c r="C8" s="19" t="s">
        <v>260</v>
      </c>
      <c r="D8" s="19" t="s">
        <v>261</v>
      </c>
      <c r="E8" s="194"/>
      <c r="F8" s="206"/>
      <c r="G8" s="179"/>
    </row>
    <row r="9" spans="1:7" ht="46.5">
      <c r="A9" s="238" t="s">
        <v>265</v>
      </c>
      <c r="B9" s="12" t="s">
        <v>322</v>
      </c>
      <c r="C9" s="19" t="s">
        <v>262</v>
      </c>
      <c r="D9" s="13" t="s">
        <v>263</v>
      </c>
      <c r="E9" s="170"/>
      <c r="F9" s="206"/>
      <c r="G9" s="179"/>
    </row>
    <row r="10" spans="1:7">
      <c r="A10" s="261" t="s">
        <v>55</v>
      </c>
      <c r="B10" s="262"/>
      <c r="C10" s="101"/>
      <c r="D10" s="28" t="s">
        <v>104</v>
      </c>
      <c r="E10" s="227">
        <v>5</v>
      </c>
      <c r="F10" s="230">
        <v>1</v>
      </c>
      <c r="G10" s="179"/>
    </row>
    <row r="11" spans="1:7" ht="46.5">
      <c r="A11" s="237" t="s">
        <v>60</v>
      </c>
      <c r="B11" s="12" t="s">
        <v>264</v>
      </c>
      <c r="C11" s="19" t="s">
        <v>196</v>
      </c>
      <c r="D11" s="19" t="s">
        <v>70</v>
      </c>
      <c r="E11" s="170"/>
      <c r="F11" s="209">
        <v>1</v>
      </c>
      <c r="G11" s="222"/>
    </row>
    <row r="12" spans="1:7" ht="78" thickBot="1">
      <c r="A12" s="237" t="s">
        <v>268</v>
      </c>
      <c r="B12" s="149" t="s">
        <v>324</v>
      </c>
      <c r="C12" s="150" t="s">
        <v>266</v>
      </c>
      <c r="D12" s="151"/>
      <c r="E12" s="231"/>
    </row>
    <row r="13" spans="1:7" ht="16" thickTop="1"/>
  </sheetData>
  <sheetProtection algorithmName="SHA-512" hashValue="nd1Lgwsc4NP7gRvU8dOO8TNzdx265GntUaU2sgGnzo8Tc/krKdoAXqNfoRO79to+itrWlBWhmkCRxERSmpbo2Q==" saltValue="6KyDoA9+wlXz7hhokoxFLQ==" spinCount="100000" sheet="1" objects="1" scenarios="1"/>
  <autoFilter ref="A1:G11" xr:uid="{00000000-0009-0000-0000-000005000000}"/>
  <mergeCells count="3">
    <mergeCell ref="A2:B2"/>
    <mergeCell ref="A6:B6"/>
    <mergeCell ref="A10:B10"/>
  </mergeCells>
  <phoneticPr fontId="4"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5" r:id="rId3" name="Drop Down 3">
              <controlPr defaultSize="0" autoLine="0" autoPict="0">
                <anchor moveWithCells="1">
                  <from>
                    <xdr:col>4</xdr:col>
                    <xdr:colOff>12700</xdr:colOff>
                    <xdr:row>2</xdr:row>
                    <xdr:rowOff>12700</xdr:rowOff>
                  </from>
                  <to>
                    <xdr:col>4</xdr:col>
                    <xdr:colOff>1536700</xdr:colOff>
                    <xdr:row>2</xdr:row>
                    <xdr:rowOff>222250</xdr:rowOff>
                  </to>
                </anchor>
              </controlPr>
            </control>
          </mc:Choice>
        </mc:AlternateContent>
        <mc:AlternateContent xmlns:mc="http://schemas.openxmlformats.org/markup-compatibility/2006">
          <mc:Choice Requires="x14">
            <control shapeId="8198" r:id="rId4" name="Drop Down 6">
              <controlPr defaultSize="0" autoLine="0" autoPict="0">
                <anchor moveWithCells="1">
                  <from>
                    <xdr:col>4</xdr:col>
                    <xdr:colOff>12700</xdr:colOff>
                    <xdr:row>10</xdr:row>
                    <xdr:rowOff>12700</xdr:rowOff>
                  </from>
                  <to>
                    <xdr:col>4</xdr:col>
                    <xdr:colOff>1536700</xdr:colOff>
                    <xdr:row>10</xdr:row>
                    <xdr:rowOff>222250</xdr:rowOff>
                  </to>
                </anchor>
              </controlPr>
            </control>
          </mc:Choice>
        </mc:AlternateContent>
        <mc:AlternateContent xmlns:mc="http://schemas.openxmlformats.org/markup-compatibility/2006">
          <mc:Choice Requires="x14">
            <control shapeId="8203" r:id="rId5" name="Drop Down 11">
              <controlPr defaultSize="0" autoLine="0" autoPict="0">
                <anchor moveWithCells="1">
                  <from>
                    <xdr:col>4</xdr:col>
                    <xdr:colOff>12700</xdr:colOff>
                    <xdr:row>3</xdr:row>
                    <xdr:rowOff>12700</xdr:rowOff>
                  </from>
                  <to>
                    <xdr:col>4</xdr:col>
                    <xdr:colOff>1536700</xdr:colOff>
                    <xdr:row>3</xdr:row>
                    <xdr:rowOff>222250</xdr:rowOff>
                  </to>
                </anchor>
              </controlPr>
            </control>
          </mc:Choice>
        </mc:AlternateContent>
        <mc:AlternateContent xmlns:mc="http://schemas.openxmlformats.org/markup-compatibility/2006">
          <mc:Choice Requires="x14">
            <control shapeId="8207" r:id="rId6" name="Drop Down 15">
              <controlPr defaultSize="0" autoLine="0" autoPict="0">
                <anchor moveWithCells="1">
                  <from>
                    <xdr:col>4</xdr:col>
                    <xdr:colOff>12700</xdr:colOff>
                    <xdr:row>4</xdr:row>
                    <xdr:rowOff>12700</xdr:rowOff>
                  </from>
                  <to>
                    <xdr:col>4</xdr:col>
                    <xdr:colOff>1536700</xdr:colOff>
                    <xdr:row>4</xdr:row>
                    <xdr:rowOff>222250</xdr:rowOff>
                  </to>
                </anchor>
              </controlPr>
            </control>
          </mc:Choice>
        </mc:AlternateContent>
        <mc:AlternateContent xmlns:mc="http://schemas.openxmlformats.org/markup-compatibility/2006">
          <mc:Choice Requires="x14">
            <control shapeId="8209" r:id="rId7" name="Drop Down 17">
              <controlPr defaultSize="0" autoLine="0" autoPict="0">
                <anchor moveWithCells="1">
                  <from>
                    <xdr:col>3</xdr:col>
                    <xdr:colOff>5080000</xdr:colOff>
                    <xdr:row>6</xdr:row>
                    <xdr:rowOff>57150</xdr:rowOff>
                  </from>
                  <to>
                    <xdr:col>4</xdr:col>
                    <xdr:colOff>1524000</xdr:colOff>
                    <xdr:row>6</xdr:row>
                    <xdr:rowOff>266700</xdr:rowOff>
                  </to>
                </anchor>
              </controlPr>
            </control>
          </mc:Choice>
        </mc:AlternateContent>
        <mc:AlternateContent xmlns:mc="http://schemas.openxmlformats.org/markup-compatibility/2006">
          <mc:Choice Requires="x14">
            <control shapeId="8211" r:id="rId8" name="Drop Down 19">
              <controlPr defaultSize="0" autoLine="0" autoPict="0">
                <anchor moveWithCells="1">
                  <from>
                    <xdr:col>4</xdr:col>
                    <xdr:colOff>31750</xdr:colOff>
                    <xdr:row>7</xdr:row>
                    <xdr:rowOff>31750</xdr:rowOff>
                  </from>
                  <to>
                    <xdr:col>5</xdr:col>
                    <xdr:colOff>0</xdr:colOff>
                    <xdr:row>7</xdr:row>
                    <xdr:rowOff>247650</xdr:rowOff>
                  </to>
                </anchor>
              </controlPr>
            </control>
          </mc:Choice>
        </mc:AlternateContent>
        <mc:AlternateContent xmlns:mc="http://schemas.openxmlformats.org/markup-compatibility/2006">
          <mc:Choice Requires="x14">
            <control shapeId="8214" r:id="rId9" name="Drop Down 22">
              <controlPr defaultSize="0" autoLine="0" autoPict="0">
                <anchor moveWithCells="1">
                  <from>
                    <xdr:col>4</xdr:col>
                    <xdr:colOff>50800</xdr:colOff>
                    <xdr:row>8</xdr:row>
                    <xdr:rowOff>31750</xdr:rowOff>
                  </from>
                  <to>
                    <xdr:col>6</xdr:col>
                    <xdr:colOff>19050</xdr:colOff>
                    <xdr:row>8</xdr:row>
                    <xdr:rowOff>241300</xdr:rowOff>
                  </to>
                </anchor>
              </controlPr>
            </control>
          </mc:Choice>
        </mc:AlternateContent>
        <mc:AlternateContent xmlns:mc="http://schemas.openxmlformats.org/markup-compatibility/2006">
          <mc:Choice Requires="x14">
            <control shapeId="8216" r:id="rId10" name="Drop Down 24">
              <controlPr defaultSize="0" autoLine="0" autoPict="0">
                <anchor moveWithCells="1">
                  <from>
                    <xdr:col>3</xdr:col>
                    <xdr:colOff>5067300</xdr:colOff>
                    <xdr:row>11</xdr:row>
                    <xdr:rowOff>12700</xdr:rowOff>
                  </from>
                  <to>
                    <xdr:col>4</xdr:col>
                    <xdr:colOff>1536700</xdr:colOff>
                    <xdr:row>11</xdr:row>
                    <xdr:rowOff>209550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zoomScale="200" zoomScaleNormal="120" workbookViewId="0">
      <selection activeCell="D50" sqref="D50"/>
    </sheetView>
  </sheetViews>
  <sheetFormatPr defaultColWidth="10.83203125" defaultRowHeight="15.5"/>
  <cols>
    <col min="1" max="1" width="22" style="2" customWidth="1"/>
    <col min="2" max="4" width="17" style="3" customWidth="1"/>
    <col min="5" max="5" width="10.83203125" style="2"/>
    <col min="6" max="6" width="46.33203125" style="2" customWidth="1"/>
    <col min="7" max="16384" width="10.83203125" style="2"/>
  </cols>
  <sheetData>
    <row r="1" spans="1:6" ht="31">
      <c r="A1" s="9" t="s">
        <v>88</v>
      </c>
      <c r="B1" s="10" t="s">
        <v>74</v>
      </c>
      <c r="C1" s="10" t="s">
        <v>75</v>
      </c>
      <c r="D1" s="10" t="s">
        <v>76</v>
      </c>
      <c r="F1" s="2" t="s">
        <v>105</v>
      </c>
    </row>
    <row r="2" spans="1:6">
      <c r="A2" s="11"/>
      <c r="B2" s="8"/>
      <c r="C2" s="8"/>
      <c r="D2" s="8"/>
    </row>
    <row r="3" spans="1:6">
      <c r="A3" s="11" t="s">
        <v>77</v>
      </c>
      <c r="B3" s="8" t="s">
        <v>78</v>
      </c>
      <c r="C3" s="8"/>
      <c r="D3" s="8"/>
    </row>
    <row r="4" spans="1:6">
      <c r="A4" s="11"/>
      <c r="B4" s="8"/>
      <c r="C4" s="8"/>
      <c r="D4" s="8"/>
    </row>
    <row r="5" spans="1:6">
      <c r="A5" s="11" t="s">
        <v>79</v>
      </c>
      <c r="B5" s="8" t="s">
        <v>78</v>
      </c>
      <c r="C5" s="8"/>
      <c r="D5" s="8"/>
    </row>
    <row r="6" spans="1:6">
      <c r="A6" s="11"/>
      <c r="B6" s="8"/>
      <c r="C6" s="8"/>
      <c r="D6" s="8"/>
    </row>
    <row r="7" spans="1:6">
      <c r="A7" s="11" t="s">
        <v>80</v>
      </c>
      <c r="B7" s="8" t="s">
        <v>78</v>
      </c>
      <c r="C7" s="8"/>
      <c r="D7" s="8"/>
    </row>
    <row r="8" spans="1:6">
      <c r="A8" s="11"/>
      <c r="B8" s="8"/>
      <c r="C8" s="8"/>
      <c r="D8" s="8"/>
    </row>
    <row r="9" spans="1:6">
      <c r="A9" s="11" t="s">
        <v>81</v>
      </c>
      <c r="B9" s="8" t="s">
        <v>78</v>
      </c>
      <c r="C9" s="8" t="s">
        <v>78</v>
      </c>
      <c r="D9" s="8" t="s">
        <v>78</v>
      </c>
    </row>
    <row r="10" spans="1:6">
      <c r="A10" s="11"/>
      <c r="B10" s="8"/>
      <c r="C10" s="8"/>
      <c r="D10" s="8"/>
    </row>
    <row r="11" spans="1:6">
      <c r="A11" s="11" t="s">
        <v>82</v>
      </c>
      <c r="B11" s="8" t="s">
        <v>78</v>
      </c>
      <c r="C11" s="8" t="s">
        <v>78</v>
      </c>
      <c r="D11" s="8" t="s">
        <v>78</v>
      </c>
    </row>
    <row r="12" spans="1:6">
      <c r="A12" s="11"/>
      <c r="B12" s="8"/>
      <c r="C12" s="8"/>
      <c r="D12" s="8"/>
    </row>
    <row r="13" spans="1:6">
      <c r="A13" s="11" t="s">
        <v>83</v>
      </c>
      <c r="B13" s="8" t="s">
        <v>78</v>
      </c>
      <c r="C13" s="8" t="s">
        <v>78</v>
      </c>
      <c r="D13" s="8" t="s">
        <v>78</v>
      </c>
    </row>
    <row r="14" spans="1:6">
      <c r="A14" s="11"/>
      <c r="B14" s="8"/>
      <c r="C14" s="8"/>
      <c r="D14" s="8"/>
    </row>
    <row r="15" spans="1:6">
      <c r="A15" s="11" t="s">
        <v>84</v>
      </c>
      <c r="B15" s="8"/>
      <c r="C15" s="8" t="s">
        <v>78</v>
      </c>
      <c r="D15" s="8" t="s">
        <v>78</v>
      </c>
    </row>
    <row r="16" spans="1:6">
      <c r="A16" s="11"/>
      <c r="B16" s="8"/>
      <c r="C16" s="8"/>
      <c r="D16" s="8"/>
    </row>
    <row r="17" spans="1:4">
      <c r="A17" s="11" t="s">
        <v>85</v>
      </c>
      <c r="B17" s="8"/>
      <c r="C17" s="8" t="s">
        <v>78</v>
      </c>
      <c r="D17" s="8" t="s">
        <v>78</v>
      </c>
    </row>
    <row r="18" spans="1:4">
      <c r="A18" s="11"/>
      <c r="B18" s="8"/>
      <c r="C18" s="8"/>
      <c r="D18" s="8"/>
    </row>
    <row r="19" spans="1:4">
      <c r="A19" s="11" t="s">
        <v>86</v>
      </c>
      <c r="B19" s="8"/>
      <c r="C19" s="8" t="s">
        <v>78</v>
      </c>
      <c r="D19" s="8" t="s">
        <v>78</v>
      </c>
    </row>
    <row r="20" spans="1:4">
      <c r="A20" s="11"/>
      <c r="B20" s="8"/>
      <c r="C20" s="8"/>
      <c r="D20" s="8"/>
    </row>
    <row r="21" spans="1:4">
      <c r="A21" s="11" t="s">
        <v>87</v>
      </c>
      <c r="B21" s="8"/>
      <c r="C21" s="8"/>
      <c r="D21" s="8" t="s">
        <v>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pageSetUpPr autoPageBreaks="0" fitToPage="1"/>
  </sheetPr>
  <dimension ref="B1:U41"/>
  <sheetViews>
    <sheetView topLeftCell="B6" zoomScaleNormal="100" workbookViewId="0">
      <selection activeCell="C4" sqref="C4"/>
    </sheetView>
  </sheetViews>
  <sheetFormatPr defaultColWidth="11.5" defaultRowHeight="14.5"/>
  <cols>
    <col min="1" max="1" width="2.83203125" style="38" customWidth="1"/>
    <col min="2" max="2" width="53" style="38" customWidth="1"/>
    <col min="3" max="3" width="18" style="38" customWidth="1"/>
    <col min="4" max="4" width="16.33203125" style="38" customWidth="1"/>
    <col min="5" max="5" width="10.5" style="52" customWidth="1"/>
    <col min="6" max="6" width="10.5" style="52" hidden="1" customWidth="1"/>
    <col min="7" max="7" width="98.5" style="38" customWidth="1"/>
    <col min="8" max="14" width="11.5" style="38"/>
    <col min="15" max="15" width="21.58203125" style="38" bestFit="1" customWidth="1"/>
    <col min="16" max="16384" width="11.5" style="38"/>
  </cols>
  <sheetData>
    <row r="1" spans="2:21" ht="81" customHeight="1">
      <c r="B1" s="93" t="s">
        <v>173</v>
      </c>
      <c r="C1" s="94"/>
      <c r="D1" s="263"/>
      <c r="E1" s="263"/>
      <c r="F1" s="263"/>
      <c r="G1" s="263"/>
      <c r="H1" s="263"/>
      <c r="I1" s="263"/>
      <c r="J1" s="263"/>
      <c r="K1" s="263"/>
      <c r="L1" s="263"/>
      <c r="M1" s="263"/>
      <c r="N1" s="263"/>
      <c r="O1" s="263"/>
      <c r="P1" s="263"/>
      <c r="Q1" s="263"/>
      <c r="R1" s="263"/>
      <c r="S1" s="263"/>
      <c r="T1" s="263"/>
      <c r="U1" s="263"/>
    </row>
    <row r="2" spans="2:21" ht="13.5" customHeight="1">
      <c r="D2" s="39"/>
      <c r="E2" s="39"/>
      <c r="F2" s="39"/>
      <c r="G2" s="39"/>
    </row>
    <row r="3" spans="2:21" ht="62.25" customHeight="1">
      <c r="B3" s="103" t="str">
        <f>Strategie!$A$1</f>
        <v>Strategie</v>
      </c>
      <c r="C3" s="41" t="s">
        <v>169</v>
      </c>
      <c r="D3" s="41" t="s">
        <v>170</v>
      </c>
      <c r="E3" s="41" t="s">
        <v>171</v>
      </c>
      <c r="F3" s="42" t="s">
        <v>171</v>
      </c>
      <c r="G3" s="104" t="s">
        <v>0</v>
      </c>
      <c r="H3"/>
      <c r="I3" s="83"/>
      <c r="J3" s="84"/>
      <c r="K3" s="84"/>
      <c r="L3" s="84"/>
      <c r="M3" s="84"/>
      <c r="N3" s="84"/>
      <c r="O3" s="105" t="s">
        <v>197</v>
      </c>
      <c r="P3" s="84"/>
      <c r="Q3" s="84"/>
      <c r="R3" s="84"/>
      <c r="S3" s="84"/>
      <c r="T3" s="84"/>
      <c r="U3" s="85"/>
    </row>
    <row r="4" spans="2:21" ht="50.25" customHeight="1">
      <c r="B4" s="43" t="str">
        <f>Strategie!$A$3</f>
        <v>Governance</v>
      </c>
      <c r="C4" s="44" t="str">
        <f>IFERROR(AVERAGE(_output!C3:C9),"")</f>
        <v/>
      </c>
      <c r="D4" s="44">
        <f>Strategie!E3</f>
        <v>5</v>
      </c>
      <c r="E4" s="45" t="e">
        <f t="shared" ref="E4:E9" si="0">D4-C4</f>
        <v>#VALUE!</v>
      </c>
      <c r="F4" s="46" t="e">
        <f>D4-C4</f>
        <v>#VALUE!</v>
      </c>
      <c r="G4" s="264"/>
      <c r="I4" s="86"/>
      <c r="J4" s="87"/>
      <c r="K4" s="87"/>
      <c r="L4" s="87"/>
      <c r="M4" s="87"/>
      <c r="N4" s="87"/>
      <c r="O4" s="87"/>
      <c r="P4" s="87"/>
      <c r="Q4" s="87"/>
      <c r="R4" s="87"/>
      <c r="S4" s="87"/>
      <c r="T4" s="87"/>
      <c r="U4" s="88"/>
    </row>
    <row r="5" spans="2:21" ht="50.25" customHeight="1">
      <c r="B5" s="43" t="str">
        <f>Strategie!$A$11</f>
        <v>Visie</v>
      </c>
      <c r="C5" s="44" t="str">
        <f>IFERROR(AVERAGE(_output!C17:C19),"")</f>
        <v/>
      </c>
      <c r="D5" s="44">
        <f>Strategie!E11</f>
        <v>5</v>
      </c>
      <c r="E5" s="45" t="e">
        <f t="shared" si="0"/>
        <v>#VALUE!</v>
      </c>
      <c r="F5" s="46" t="e">
        <f>D5-C5</f>
        <v>#VALUE!</v>
      </c>
      <c r="G5" s="265"/>
      <c r="I5" s="86"/>
      <c r="J5" s="87"/>
      <c r="K5" s="87"/>
      <c r="L5" s="87"/>
      <c r="M5" s="87"/>
      <c r="N5" s="87"/>
      <c r="O5" s="87"/>
      <c r="P5" s="87"/>
      <c r="Q5" s="87"/>
      <c r="R5" s="87"/>
      <c r="S5" s="87"/>
      <c r="T5" s="87"/>
      <c r="U5" s="88"/>
    </row>
    <row r="6" spans="2:21" ht="50.25" customHeight="1">
      <c r="B6" s="43" t="str">
        <f>Strategie!A15</f>
        <v>Business Case</v>
      </c>
      <c r="C6" s="44" t="str">
        <f>IFERROR(AVERAGE(_output!C22:C24),"")</f>
        <v/>
      </c>
      <c r="D6" s="44">
        <f>Strategie!E15</f>
        <v>5</v>
      </c>
      <c r="E6" s="45" t="e">
        <f t="shared" si="0"/>
        <v>#VALUE!</v>
      </c>
      <c r="F6" s="46"/>
      <c r="G6" s="265"/>
      <c r="I6" s="86"/>
      <c r="J6" s="87"/>
      <c r="K6" s="87"/>
      <c r="L6" s="87"/>
      <c r="M6" s="87"/>
      <c r="N6" s="87"/>
      <c r="O6" s="87"/>
      <c r="P6" s="87"/>
      <c r="Q6" s="87"/>
      <c r="R6" s="87"/>
      <c r="S6" s="87"/>
      <c r="T6" s="87"/>
      <c r="U6" s="88"/>
    </row>
    <row r="7" spans="2:21" ht="50.25" customHeight="1">
      <c r="B7" s="43" t="str">
        <f>Strategie!$A$19</f>
        <v>Financiën</v>
      </c>
      <c r="C7" s="44" t="str">
        <f>IFERROR(AVERAGE(_output!C27:C29),"")</f>
        <v/>
      </c>
      <c r="D7" s="44">
        <f>Strategie!E19</f>
        <v>5</v>
      </c>
      <c r="E7" s="45" t="e">
        <f t="shared" si="0"/>
        <v>#VALUE!</v>
      </c>
      <c r="F7" s="46" t="e">
        <f>D7-C7</f>
        <v>#VALUE!</v>
      </c>
      <c r="G7" s="265"/>
      <c r="I7" s="86"/>
      <c r="J7" s="87"/>
      <c r="K7" s="87"/>
      <c r="L7" s="87"/>
      <c r="M7" s="87"/>
      <c r="N7" s="87"/>
      <c r="O7" s="87"/>
      <c r="P7" s="87"/>
      <c r="Q7" s="87"/>
      <c r="R7" s="87"/>
      <c r="S7" s="87"/>
      <c r="T7" s="87"/>
      <c r="U7" s="88"/>
    </row>
    <row r="8" spans="2:21" ht="50.25" customHeight="1">
      <c r="B8" s="81" t="str">
        <f>Strategie!$A$23</f>
        <v>Toezicht</v>
      </c>
      <c r="C8" s="82" t="str">
        <f>IFERROR(AVERAGE(_output!C12:C14),"")</f>
        <v/>
      </c>
      <c r="D8" s="82">
        <f>Strategie!E23</f>
        <v>5</v>
      </c>
      <c r="E8" s="45" t="e">
        <f t="shared" si="0"/>
        <v>#VALUE!</v>
      </c>
      <c r="F8" s="46"/>
      <c r="G8" s="265"/>
      <c r="I8" s="86"/>
      <c r="J8" s="87"/>
      <c r="K8" s="87"/>
      <c r="L8" s="87"/>
      <c r="M8" s="87"/>
      <c r="N8" s="87"/>
      <c r="O8" s="87"/>
      <c r="P8" s="87"/>
      <c r="Q8" s="87"/>
      <c r="R8" s="87"/>
      <c r="S8" s="87"/>
      <c r="T8" s="87"/>
      <c r="U8" s="88"/>
    </row>
    <row r="9" spans="2:21" ht="51.75" customHeight="1">
      <c r="B9" s="47" t="s">
        <v>172</v>
      </c>
      <c r="C9" s="48" t="e">
        <f>AVERAGE(C4:C7)</f>
        <v>#DIV/0!</v>
      </c>
      <c r="D9" s="49">
        <f>AVERAGE(D4:D7)</f>
        <v>5</v>
      </c>
      <c r="E9" s="45" t="e">
        <f t="shared" si="0"/>
        <v>#DIV/0!</v>
      </c>
      <c r="F9" s="51" t="e">
        <f>D9-C9</f>
        <v>#DIV/0!</v>
      </c>
      <c r="G9" s="266"/>
      <c r="I9" s="86"/>
      <c r="J9" s="87"/>
      <c r="K9" s="87"/>
      <c r="L9" s="87"/>
      <c r="M9" s="87"/>
      <c r="N9" s="87"/>
      <c r="O9" s="87"/>
      <c r="P9" s="87"/>
      <c r="Q9" s="87"/>
      <c r="R9" s="87"/>
      <c r="S9" s="87"/>
      <c r="T9" s="87"/>
      <c r="U9" s="88"/>
    </row>
    <row r="10" spans="2:21" ht="30" customHeight="1">
      <c r="B10" s="52">
        <v>5</v>
      </c>
      <c r="C10" s="52"/>
      <c r="D10" s="52"/>
      <c r="I10" s="86"/>
      <c r="J10" s="87"/>
      <c r="K10" s="87"/>
      <c r="L10" s="87"/>
      <c r="M10" s="87"/>
      <c r="N10" s="87"/>
      <c r="O10" s="87"/>
      <c r="P10" s="87"/>
      <c r="Q10" s="87"/>
      <c r="R10" s="87"/>
      <c r="S10" s="87"/>
      <c r="T10" s="87"/>
      <c r="U10" s="88"/>
    </row>
    <row r="11" spans="2:21" ht="48.75" customHeight="1">
      <c r="B11" s="40" t="str">
        <f>Tactiek!$A$1</f>
        <v>Tactiek</v>
      </c>
      <c r="C11" s="41" t="s">
        <v>169</v>
      </c>
      <c r="D11" s="41" t="s">
        <v>170</v>
      </c>
      <c r="E11" s="41" t="s">
        <v>171</v>
      </c>
      <c r="F11" s="42" t="s">
        <v>171</v>
      </c>
      <c r="G11" s="61" t="s">
        <v>25</v>
      </c>
      <c r="I11" s="86"/>
      <c r="J11" s="87"/>
      <c r="K11" s="87"/>
      <c r="L11" s="87"/>
      <c r="M11" s="87"/>
      <c r="N11" s="87"/>
      <c r="O11" s="87"/>
      <c r="P11" s="87"/>
      <c r="Q11" s="87"/>
      <c r="R11" s="87"/>
      <c r="S11" s="87"/>
      <c r="T11" s="87"/>
      <c r="U11" s="88"/>
    </row>
    <row r="12" spans="2:21" ht="52" customHeight="1">
      <c r="B12" s="43" t="str">
        <f>Tactiek!A3</f>
        <v>Werkgroepen</v>
      </c>
      <c r="C12" s="44" t="str">
        <f>IFERROR(AVERAGE(_output!C32:C34),"")</f>
        <v/>
      </c>
      <c r="D12" s="44">
        <f>Tactiek!E3</f>
        <v>5</v>
      </c>
      <c r="E12" s="45" t="e">
        <f>D12-C12</f>
        <v>#VALUE!</v>
      </c>
      <c r="G12" s="62"/>
      <c r="I12" s="86"/>
      <c r="J12" s="87"/>
      <c r="K12" s="87"/>
      <c r="L12" s="87"/>
      <c r="M12" s="87"/>
      <c r="N12" s="87"/>
      <c r="O12" s="87"/>
      <c r="P12" s="87"/>
      <c r="Q12" s="87"/>
      <c r="R12" s="87"/>
      <c r="S12" s="87"/>
      <c r="T12" s="87"/>
      <c r="U12" s="88"/>
    </row>
    <row r="13" spans="2:21" ht="52" customHeight="1">
      <c r="B13" s="43" t="str">
        <f>Tactiek!A7</f>
        <v>Adoptie &amp; Erkenning</v>
      </c>
      <c r="C13" s="44" t="str">
        <f>IFERROR(AVERAGE(_output!C37:C39),"")</f>
        <v/>
      </c>
      <c r="D13" s="44">
        <f>Tactiek!E7</f>
        <v>5</v>
      </c>
      <c r="E13" s="45" t="e">
        <f>D13-C13</f>
        <v>#VALUE!</v>
      </c>
      <c r="G13" s="63"/>
      <c r="I13" s="86"/>
      <c r="J13" s="87"/>
      <c r="K13" s="87"/>
      <c r="L13" s="87"/>
      <c r="M13" s="87"/>
      <c r="N13" s="87"/>
      <c r="O13" s="87"/>
      <c r="P13" s="87"/>
      <c r="Q13" s="87"/>
      <c r="R13" s="87"/>
      <c r="S13" s="87"/>
      <c r="T13" s="87"/>
      <c r="U13" s="88"/>
    </row>
    <row r="14" spans="2:21" ht="52" customHeight="1">
      <c r="B14" s="43" t="str">
        <f>Tactiek!A11</f>
        <v>Architectuur</v>
      </c>
      <c r="C14" s="44" t="str">
        <f>IFERROR(AVERAGE(_output!C42:C44),"")</f>
        <v/>
      </c>
      <c r="D14" s="44">
        <f>Tactiek!E11</f>
        <v>5</v>
      </c>
      <c r="E14" s="45" t="e">
        <f>D14-C14</f>
        <v>#VALUE!</v>
      </c>
      <c r="G14" s="63"/>
      <c r="I14" s="86"/>
      <c r="J14" s="87"/>
      <c r="K14" s="87"/>
      <c r="L14" s="87"/>
      <c r="M14" s="87"/>
      <c r="N14" s="87"/>
      <c r="O14" s="87"/>
      <c r="P14" s="87"/>
      <c r="Q14" s="87"/>
      <c r="R14" s="87"/>
      <c r="S14" s="87"/>
      <c r="T14" s="87"/>
      <c r="U14" s="88"/>
    </row>
    <row r="15" spans="2:21" ht="52" customHeight="1">
      <c r="B15" s="43" t="str">
        <f>Tactiek!A17</f>
        <v>Risicoanalyse</v>
      </c>
      <c r="C15" s="44" t="str">
        <f>IFERROR(AVERAGE(_output!C50:C52),"")</f>
        <v/>
      </c>
      <c r="D15" s="44">
        <f>Tactiek!E17</f>
        <v>5</v>
      </c>
      <c r="E15" s="45" t="e">
        <f>D15-C15</f>
        <v>#VALUE!</v>
      </c>
      <c r="G15" s="63"/>
      <c r="I15" s="86"/>
      <c r="J15" s="87"/>
      <c r="K15" s="87"/>
      <c r="L15" s="87"/>
      <c r="M15" s="87"/>
      <c r="N15" s="87"/>
      <c r="O15" s="87"/>
      <c r="P15" s="87"/>
      <c r="Q15" s="87"/>
      <c r="R15" s="87"/>
      <c r="S15" s="87"/>
      <c r="T15" s="87"/>
      <c r="U15" s="88"/>
    </row>
    <row r="16" spans="2:21" ht="52" customHeight="1">
      <c r="B16" s="43" t="str">
        <f>Tactiek!A15</f>
        <v>Roadmapping</v>
      </c>
      <c r="C16" s="44" t="str">
        <f>IFERROR(AVERAGE(_output!C47:C47),"")</f>
        <v/>
      </c>
      <c r="D16" s="44">
        <f>Tactiek!E15</f>
        <v>5</v>
      </c>
      <c r="E16" s="45" t="e">
        <f>D16-C16</f>
        <v>#VALUE!</v>
      </c>
      <c r="G16" s="63"/>
      <c r="I16" s="86"/>
      <c r="J16" s="87"/>
      <c r="K16" s="87"/>
      <c r="L16" s="87"/>
      <c r="M16" s="87"/>
      <c r="N16" s="87"/>
      <c r="O16" s="87"/>
      <c r="P16" s="87"/>
      <c r="Q16" s="87"/>
      <c r="R16" s="87"/>
      <c r="S16" s="87"/>
      <c r="T16" s="87"/>
      <c r="U16" s="88"/>
    </row>
    <row r="17" spans="2:21" ht="48" customHeight="1">
      <c r="B17" s="47" t="s">
        <v>172</v>
      </c>
      <c r="C17" s="48" t="e">
        <f>AVERAGE(C12:C16)</f>
        <v>#DIV/0!</v>
      </c>
      <c r="D17" s="49">
        <f>AVERAGE(D13:D16)</f>
        <v>5</v>
      </c>
      <c r="E17" s="45" t="e">
        <f t="shared" ref="E17" si="1">D17-C17</f>
        <v>#DIV/0!</v>
      </c>
      <c r="G17" s="64"/>
      <c r="I17" s="86"/>
      <c r="J17" s="87"/>
      <c r="K17" s="87"/>
      <c r="L17" s="87"/>
      <c r="M17" s="87"/>
      <c r="N17" s="87"/>
      <c r="O17" s="87"/>
      <c r="P17" s="87"/>
      <c r="Q17" s="87"/>
      <c r="R17" s="87"/>
      <c r="S17" s="87"/>
      <c r="T17" s="87"/>
      <c r="U17" s="88"/>
    </row>
    <row r="18" spans="2:21" ht="32.25" customHeight="1">
      <c r="I18" s="86"/>
      <c r="J18" s="87"/>
      <c r="K18" s="87"/>
      <c r="L18" s="87"/>
      <c r="M18" s="87"/>
      <c r="N18" s="87"/>
      <c r="O18" s="87"/>
      <c r="P18" s="87"/>
      <c r="Q18" s="87"/>
      <c r="R18" s="87"/>
      <c r="S18" s="87"/>
      <c r="T18" s="87"/>
      <c r="U18" s="88"/>
    </row>
    <row r="19" spans="2:21" ht="48.75" customHeight="1">
      <c r="B19" s="40" t="str">
        <f>Operationeel!A1</f>
        <v>Operationeel</v>
      </c>
      <c r="C19" s="41" t="s">
        <v>169</v>
      </c>
      <c r="D19" s="41" t="s">
        <v>170</v>
      </c>
      <c r="E19" s="41" t="s">
        <v>171</v>
      </c>
      <c r="F19" s="42" t="s">
        <v>171</v>
      </c>
      <c r="G19" s="61" t="str">
        <f>Operationeel!A1</f>
        <v>Operationeel</v>
      </c>
      <c r="I19" s="86"/>
      <c r="J19" s="87"/>
      <c r="K19" s="87"/>
      <c r="L19" s="87"/>
      <c r="M19" s="87"/>
      <c r="N19" s="87"/>
      <c r="O19" s="87"/>
      <c r="P19" s="87"/>
      <c r="Q19" s="87"/>
      <c r="R19" s="87"/>
      <c r="S19" s="87"/>
      <c r="T19" s="87"/>
      <c r="U19" s="88"/>
    </row>
    <row r="20" spans="2:21" ht="52" customHeight="1">
      <c r="B20" s="43" t="str">
        <f>Operationeel!A4</f>
        <v>Wensen &amp; eisen</v>
      </c>
      <c r="C20" s="44" t="str">
        <f>IFERROR(AVERAGE(_output!C55:C56),"")</f>
        <v/>
      </c>
      <c r="D20" s="44">
        <f>Operationeel!E4</f>
        <v>5</v>
      </c>
      <c r="E20" s="45" t="e">
        <f>D20-C20</f>
        <v>#VALUE!</v>
      </c>
      <c r="G20" s="62"/>
      <c r="I20" s="86"/>
      <c r="J20" s="87"/>
      <c r="K20" s="87"/>
      <c r="L20" s="87"/>
      <c r="M20" s="87"/>
      <c r="N20" s="87"/>
      <c r="O20" s="87"/>
      <c r="P20" s="87"/>
      <c r="Q20" s="87"/>
      <c r="R20" s="87"/>
      <c r="S20" s="87"/>
      <c r="T20" s="87"/>
      <c r="U20" s="88"/>
    </row>
    <row r="21" spans="2:21" ht="52" customHeight="1">
      <c r="B21" s="43" t="str">
        <f>Operationeel!A7</f>
        <v>Ontwikkeling</v>
      </c>
      <c r="C21" s="44" t="str">
        <f>IFERROR(AVERAGE(_output!C59:C61),"")</f>
        <v/>
      </c>
      <c r="D21" s="44">
        <f>Operationeel!E7</f>
        <v>5</v>
      </c>
      <c r="E21" s="45" t="e">
        <f t="shared" ref="E21:E24" si="2">D21-C21</f>
        <v>#VALUE!</v>
      </c>
      <c r="G21" s="63"/>
      <c r="I21" s="89"/>
      <c r="J21" s="90"/>
      <c r="K21" s="90"/>
      <c r="L21" s="90"/>
      <c r="M21" s="90"/>
      <c r="N21" s="90"/>
      <c r="O21" s="90"/>
      <c r="P21" s="90"/>
      <c r="Q21" s="90"/>
      <c r="R21" s="90"/>
      <c r="S21" s="90"/>
      <c r="T21" s="90"/>
      <c r="U21" s="91"/>
    </row>
    <row r="22" spans="2:21" ht="52" customHeight="1">
      <c r="B22" s="43" t="str">
        <f>Operationeel!A11</f>
        <v>Uitvoering</v>
      </c>
      <c r="C22" s="44" t="str">
        <f>IFERROR(AVERAGE(_output!C64:C64),"")</f>
        <v/>
      </c>
      <c r="D22" s="44">
        <f>Operationeel!E11</f>
        <v>5</v>
      </c>
      <c r="E22" s="45" t="e">
        <f t="shared" si="2"/>
        <v>#VALUE!</v>
      </c>
      <c r="G22" s="63"/>
    </row>
    <row r="23" spans="2:21" ht="52" customHeight="1">
      <c r="B23" s="43" t="str">
        <f>Operationeel!A13</f>
        <v>Documentatie</v>
      </c>
      <c r="C23" s="44" t="str">
        <f>IFERROR(AVERAGE(_output!C67:C69),"")</f>
        <v/>
      </c>
      <c r="D23" s="44">
        <f>Operationeel!E13</f>
        <v>5</v>
      </c>
      <c r="E23" s="50" t="e">
        <f t="shared" si="2"/>
        <v>#VALUE!</v>
      </c>
      <c r="G23" s="63"/>
      <c r="O23" s="95"/>
    </row>
    <row r="24" spans="2:21" ht="48" customHeight="1">
      <c r="B24" s="47" t="s">
        <v>172</v>
      </c>
      <c r="C24" s="48" t="e">
        <f>AVERAGE(C20:C23)</f>
        <v>#DIV/0!</v>
      </c>
      <c r="D24" s="49">
        <f>AVERAGE(D21:D23)</f>
        <v>5</v>
      </c>
      <c r="E24" s="50" t="e">
        <f t="shared" si="2"/>
        <v>#DIV/0!</v>
      </c>
      <c r="G24" s="64"/>
      <c r="P24" s="92"/>
    </row>
    <row r="25" spans="2:21" ht="29.15" customHeight="1"/>
    <row r="26" spans="2:21" ht="48.75" customHeight="1">
      <c r="B26" s="40" t="str">
        <f>'Implementatie Ondersteuning'!$A$1</f>
        <v>Implementatie Ondersteuning</v>
      </c>
      <c r="C26" s="41" t="s">
        <v>169</v>
      </c>
      <c r="D26" s="41" t="s">
        <v>170</v>
      </c>
      <c r="E26" s="41" t="s">
        <v>171</v>
      </c>
      <c r="F26" s="42" t="s">
        <v>171</v>
      </c>
      <c r="G26" s="61" t="str">
        <f>B26</f>
        <v>Implementatie Ondersteuning</v>
      </c>
    </row>
    <row r="27" spans="2:21" ht="52" customHeight="1">
      <c r="B27" s="43" t="str">
        <f>'Implementatie Ondersteuning'!A3</f>
        <v>Opleiding</v>
      </c>
      <c r="C27" s="44" t="str">
        <f>IFERROR(AVERAGE(_output!C72:C72),"")</f>
        <v/>
      </c>
      <c r="D27" s="44">
        <f>'Implementatie Ondersteuning'!E3</f>
        <v>5</v>
      </c>
      <c r="E27" s="45" t="e">
        <f>D27-C27</f>
        <v>#VALUE!</v>
      </c>
      <c r="G27" s="62"/>
    </row>
    <row r="28" spans="2:21" ht="52" customHeight="1">
      <c r="B28" s="43" t="str">
        <f>'Implementatie Ondersteuning'!A5</f>
        <v>Ondersteuning</v>
      </c>
      <c r="C28" s="44" t="str">
        <f>IFERROR(AVERAGE(_output!C75:C76),"")</f>
        <v/>
      </c>
      <c r="D28" s="44">
        <f>'Implementatie Ondersteuning'!E5</f>
        <v>5</v>
      </c>
      <c r="E28" s="45" t="e">
        <f t="shared" ref="E28:E32" si="3">D28-C28</f>
        <v>#VALUE!</v>
      </c>
      <c r="G28" s="63"/>
    </row>
    <row r="29" spans="2:21" ht="52" customHeight="1">
      <c r="B29" s="43" t="str">
        <f>'Implementatie Ondersteuning'!A8</f>
        <v>Module Ontwikkeling</v>
      </c>
      <c r="C29" s="44" t="str">
        <f>IFERROR(AVERAGE(_output!C79:C79),"")</f>
        <v/>
      </c>
      <c r="D29" s="44">
        <f>'Implementatie Ondersteuning'!E8</f>
        <v>5</v>
      </c>
      <c r="E29" s="45" t="e">
        <f t="shared" si="3"/>
        <v>#VALUE!</v>
      </c>
      <c r="G29" s="63"/>
    </row>
    <row r="30" spans="2:21" ht="52" customHeight="1">
      <c r="B30" s="43" t="str">
        <f>'Implementatie Ondersteuning'!A10</f>
        <v>Pilot/vernieuwing</v>
      </c>
      <c r="C30" s="44" t="str">
        <f>IFERROR(AVERAGE(_output!C82:C83),"")</f>
        <v/>
      </c>
      <c r="D30" s="44">
        <f>'Implementatie Ondersteuning'!E10</f>
        <v>5</v>
      </c>
      <c r="E30" s="50" t="e">
        <f t="shared" si="3"/>
        <v>#VALUE!</v>
      </c>
      <c r="G30" s="63"/>
    </row>
    <row r="31" spans="2:21" ht="52" customHeight="1">
      <c r="B31" s="81" t="str">
        <f>'Implementatie Ondersteuning'!A13</f>
        <v>Validatie &amp; Certificatie</v>
      </c>
      <c r="C31" s="44" t="str">
        <f>IFERROR(AVERAGE(_output!C86:C87),"")</f>
        <v/>
      </c>
      <c r="D31" s="82">
        <f>'Implementatie Ondersteuning'!E13</f>
        <v>5</v>
      </c>
      <c r="E31" s="50" t="e">
        <f t="shared" si="3"/>
        <v>#VALUE!</v>
      </c>
      <c r="G31" s="63"/>
    </row>
    <row r="32" spans="2:21" ht="48" customHeight="1">
      <c r="B32" s="47" t="s">
        <v>172</v>
      </c>
      <c r="C32" s="48" t="e">
        <f>AVERAGE(C27:C31)</f>
        <v>#DIV/0!</v>
      </c>
      <c r="D32" s="49">
        <f>AVERAGE(D28:D30)</f>
        <v>5</v>
      </c>
      <c r="E32" s="50" t="e">
        <f t="shared" si="3"/>
        <v>#DIV/0!</v>
      </c>
      <c r="G32" s="64"/>
    </row>
    <row r="33" spans="2:7" ht="30" customHeight="1"/>
    <row r="34" spans="2:7" ht="48.75" customHeight="1">
      <c r="B34" s="40" t="str">
        <f>Communicatie!$A$1</f>
        <v>Communicatie</v>
      </c>
      <c r="C34" s="41" t="s">
        <v>169</v>
      </c>
      <c r="D34" s="41" t="s">
        <v>170</v>
      </c>
      <c r="E34" s="41" t="s">
        <v>171</v>
      </c>
      <c r="F34" s="42" t="s">
        <v>171</v>
      </c>
      <c r="G34" s="61" t="str">
        <f>B34</f>
        <v>Communicatie</v>
      </c>
    </row>
    <row r="35" spans="2:7" ht="52" customHeight="1">
      <c r="B35" s="43" t="str">
        <f>Communicatie!$A$2</f>
        <v>Promotie</v>
      </c>
      <c r="C35" s="44" t="str">
        <f>IFERROR(AVERAGE(_output!C90:C92),"")</f>
        <v/>
      </c>
      <c r="D35" s="44">
        <f>Communicatie!E2</f>
        <v>5</v>
      </c>
      <c r="E35" s="45" t="e">
        <f>D35-C35</f>
        <v>#VALUE!</v>
      </c>
      <c r="G35" s="62"/>
    </row>
    <row r="36" spans="2:7" ht="52" customHeight="1">
      <c r="B36" s="43" t="str">
        <f>Communicatie!$A$6</f>
        <v>Publicatie</v>
      </c>
      <c r="C36" s="44" t="str">
        <f>IFERROR(AVERAGE(_output!C95:C97),"")</f>
        <v/>
      </c>
      <c r="D36" s="44">
        <f>Communicatie!E6</f>
        <v>5</v>
      </c>
      <c r="E36" s="45" t="e">
        <f t="shared" ref="E36:E38" si="4">D36-C36</f>
        <v>#VALUE!</v>
      </c>
      <c r="G36" s="63"/>
    </row>
    <row r="37" spans="2:7" ht="52" customHeight="1">
      <c r="B37" s="43" t="str">
        <f>Communicatie!$A$10</f>
        <v>Klachtenafhandeling</v>
      </c>
      <c r="C37" s="44" t="str">
        <f>IFERROR(AVERAGE(_output!C100:C101),"")</f>
        <v/>
      </c>
      <c r="D37" s="44">
        <f>Communicatie!E10</f>
        <v>5</v>
      </c>
      <c r="E37" s="45" t="e">
        <f t="shared" si="4"/>
        <v>#VALUE!</v>
      </c>
      <c r="G37" s="63"/>
    </row>
    <row r="38" spans="2:7" ht="48" customHeight="1">
      <c r="B38" s="47" t="s">
        <v>172</v>
      </c>
      <c r="C38" s="48" t="e">
        <f>AVERAGE(C35:C37)</f>
        <v>#DIV/0!</v>
      </c>
      <c r="D38" s="49">
        <f>AVERAGE(D36:D37)</f>
        <v>5</v>
      </c>
      <c r="E38" s="50" t="e">
        <f t="shared" si="4"/>
        <v>#DIV/0!</v>
      </c>
      <c r="G38" s="64"/>
    </row>
    <row r="39" spans="2:7">
      <c r="E39" s="38"/>
      <c r="F39" s="38"/>
    </row>
    <row r="40" spans="2:7">
      <c r="E40" s="38"/>
      <c r="F40" s="38"/>
    </row>
    <row r="41" spans="2:7">
      <c r="E41" s="38"/>
      <c r="F41" s="38"/>
    </row>
  </sheetData>
  <sheetProtection sheet="1" objects="1" scenarios="1"/>
  <mergeCells count="6">
    <mergeCell ref="T1:U1"/>
    <mergeCell ref="D1:G1"/>
    <mergeCell ref="G4:G9"/>
    <mergeCell ref="H1:K1"/>
    <mergeCell ref="L1:O1"/>
    <mergeCell ref="P1:S1"/>
  </mergeCells>
  <conditionalFormatting sqref="C4:D8">
    <cfRule type="cellIs" dxfId="14" priority="72" operator="between">
      <formula>1</formula>
      <formula>1.9</formula>
    </cfRule>
    <cfRule type="cellIs" dxfId="13" priority="71" operator="between">
      <formula>2</formula>
      <formula>3.9</formula>
    </cfRule>
    <cfRule type="cellIs" dxfId="12" priority="70" operator="greaterThanOrEqual">
      <formula>4</formula>
    </cfRule>
  </conditionalFormatting>
  <conditionalFormatting sqref="C12:D16">
    <cfRule type="cellIs" dxfId="11" priority="52" operator="between">
      <formula>1</formula>
      <formula>1.9</formula>
    </cfRule>
    <cfRule type="cellIs" dxfId="10" priority="51" operator="between">
      <formula>2</formula>
      <formula>3.9</formula>
    </cfRule>
    <cfRule type="cellIs" dxfId="9" priority="50" operator="greaterThanOrEqual">
      <formula>4</formula>
    </cfRule>
  </conditionalFormatting>
  <conditionalFormatting sqref="C20:D23">
    <cfRule type="cellIs" dxfId="8" priority="41" operator="between">
      <formula>1</formula>
      <formula>1.9</formula>
    </cfRule>
    <cfRule type="cellIs" dxfId="7" priority="40" operator="between">
      <formula>2</formula>
      <formula>3.9</formula>
    </cfRule>
    <cfRule type="cellIs" dxfId="6" priority="39" operator="greaterThanOrEqual">
      <formula>4</formula>
    </cfRule>
  </conditionalFormatting>
  <conditionalFormatting sqref="C27:D31">
    <cfRule type="cellIs" dxfId="5" priority="29" operator="between">
      <formula>2</formula>
      <formula>3.9</formula>
    </cfRule>
    <cfRule type="cellIs" dxfId="4" priority="28" operator="greaterThanOrEqual">
      <formula>4</formula>
    </cfRule>
    <cfRule type="cellIs" dxfId="3" priority="30" operator="between">
      <formula>1</formula>
      <formula>1.9</formula>
    </cfRule>
  </conditionalFormatting>
  <conditionalFormatting sqref="C35:D37">
    <cfRule type="cellIs" dxfId="2" priority="20" operator="greaterThanOrEqual">
      <formula>4</formula>
    </cfRule>
    <cfRule type="cellIs" dxfId="1" priority="21" operator="between">
      <formula>2</formula>
      <formula>3.9</formula>
    </cfRule>
    <cfRule type="cellIs" dxfId="0" priority="22" operator="between">
      <formula>1</formula>
      <formula>1.9</formula>
    </cfRule>
  </conditionalFormatting>
  <conditionalFormatting sqref="E4:E9">
    <cfRule type="iconSet" priority="74">
      <iconSet iconSet="5Rating" showValue="0" reverse="1">
        <cfvo type="percent" val="0"/>
        <cfvo type="num" val="2"/>
        <cfvo type="num" val="3"/>
        <cfvo type="num" val="4"/>
        <cfvo type="num" val="5"/>
      </iconSet>
    </cfRule>
  </conditionalFormatting>
  <conditionalFormatting sqref="E12:E16">
    <cfRule type="iconSet" priority="1">
      <iconSet iconSet="5Rating" showValue="0" reverse="1">
        <cfvo type="percent" val="0"/>
        <cfvo type="num" val="2"/>
        <cfvo type="num" val="3"/>
        <cfvo type="num" val="4"/>
        <cfvo type="num" val="5"/>
      </iconSet>
    </cfRule>
  </conditionalFormatting>
  <conditionalFormatting sqref="E17">
    <cfRule type="iconSet" priority="13">
      <iconSet iconSet="5Rating" showValue="0" reverse="1">
        <cfvo type="percent" val="0"/>
        <cfvo type="num" val="2"/>
        <cfvo type="num" val="3"/>
        <cfvo type="num" val="4"/>
        <cfvo type="num" val="5"/>
      </iconSet>
    </cfRule>
  </conditionalFormatting>
  <conditionalFormatting sqref="E20:E24">
    <cfRule type="iconSet" priority="37">
      <iconSet iconSet="5Rating" showValue="0" reverse="1">
        <cfvo type="percent" val="0"/>
        <cfvo type="num" val="2"/>
        <cfvo type="num" val="3"/>
        <cfvo type="num" val="4"/>
        <cfvo type="num" val="5"/>
      </iconSet>
    </cfRule>
  </conditionalFormatting>
  <conditionalFormatting sqref="E27:E31">
    <cfRule type="iconSet" priority="26">
      <iconSet iconSet="5Rating" showValue="0" reverse="1">
        <cfvo type="percent" val="0"/>
        <cfvo type="num" val="2"/>
        <cfvo type="num" val="3"/>
        <cfvo type="num" val="4"/>
        <cfvo type="num" val="5"/>
      </iconSet>
    </cfRule>
  </conditionalFormatting>
  <conditionalFormatting sqref="E32">
    <cfRule type="iconSet" priority="10">
      <iconSet iconSet="5Rating" showValue="0" reverse="1">
        <cfvo type="percent" val="0"/>
        <cfvo type="num" val="2"/>
        <cfvo type="num" val="3"/>
        <cfvo type="num" val="4"/>
        <cfvo type="num" val="5"/>
      </iconSet>
    </cfRule>
  </conditionalFormatting>
  <conditionalFormatting sqref="E35:E38">
    <cfRule type="iconSet" priority="79">
      <iconSet iconSet="5Rating" showValue="0" reverse="1">
        <cfvo type="percent" val="0"/>
        <cfvo type="num" val="2"/>
        <cfvo type="num" val="3"/>
        <cfvo type="num" val="4"/>
        <cfvo type="num" val="5"/>
      </iconSet>
    </cfRule>
  </conditionalFormatting>
  <conditionalFormatting sqref="O23">
    <cfRule type="iconSet" priority="3">
      <iconSet iconSet="4Rating">
        <cfvo type="percent" val="0"/>
        <cfvo type="percent" val="25"/>
        <cfvo type="percent" val="50"/>
        <cfvo type="percent" val="75"/>
      </iconSet>
    </cfRule>
  </conditionalFormatting>
  <conditionalFormatting sqref="P24">
    <cfRule type="iconSet" priority="7">
      <iconSet iconSet="4Rating">
        <cfvo type="percent" val="0"/>
        <cfvo type="percent" val="25"/>
        <cfvo type="percent" val="50"/>
        <cfvo type="percent" val="75"/>
      </iconSet>
    </cfRule>
    <cfRule type="iconSet" priority="6">
      <iconSet iconSet="5Rating">
        <cfvo type="percent" val="0"/>
        <cfvo type="percent" val="20"/>
        <cfvo type="percent" val="40"/>
        <cfvo type="percent" val="60"/>
        <cfvo type="percent" val="80"/>
      </iconSet>
    </cfRule>
    <cfRule type="iconSet" priority="5">
      <iconSet iconSet="5Rating">
        <cfvo type="percent" val="0"/>
        <cfvo type="percent" val="20"/>
        <cfvo type="percent" val="40"/>
        <cfvo type="percent" val="60"/>
        <cfvo type="percent" val="80"/>
      </iconSet>
    </cfRule>
  </conditionalFormatting>
  <conditionalFormatting sqref="Q24">
    <cfRule type="iconSet" priority="9">
      <iconSet iconSet="5Rating">
        <cfvo type="percent" val="0"/>
        <cfvo type="percent" val="20"/>
        <cfvo type="percent" val="40"/>
        <cfvo type="percent" val="60"/>
        <cfvo type="percent" val="80"/>
      </iconSet>
    </cfRule>
  </conditionalFormatting>
  <pageMargins left="0.71" right="0.71" top="0.75000000000000011" bottom="0.75000000000000011" header="0.31" footer="0.31"/>
  <pageSetup scale="61" orientation="landscape" horizontalDpi="200" verticalDpi="200"/>
  <drawing r:id="rId1"/>
  <extLst>
    <ext xmlns:x14="http://schemas.microsoft.com/office/spreadsheetml/2009/9/main" uri="{78C0D931-6437-407d-A8EE-F0AAD7539E65}">
      <x14:conditionalFormattings>
        <x14:conditionalFormatting xmlns:xm="http://schemas.microsoft.com/office/excel/2006/main">
          <x14:cfRule type="iconSet" priority="78" id="{3D0E57EB-09B1-7B4C-9FC5-1B54AB45559A}">
            <x14:iconSet showValue="0" custom="1">
              <x14:cfvo type="percent">
                <xm:f>0</xm:f>
              </x14:cfvo>
              <x14:cfvo type="num" gte="0">
                <xm:f>1</xm:f>
              </x14:cfvo>
              <x14:cfvo type="num">
                <xm:f>2</xm:f>
              </x14:cfvo>
              <x14:cfIcon iconSet="5Rating" iconId="4"/>
              <x14:cfIcon iconSet="5Rating" iconId="2"/>
              <x14:cfIcon iconSet="5Rating" iconId="0"/>
            </x14:iconSet>
          </x14:cfRule>
          <xm:sqref>E4:E9</xm:sqref>
        </x14:conditionalFormatting>
        <x14:conditionalFormatting xmlns:xm="http://schemas.microsoft.com/office/excel/2006/main">
          <x14:cfRule type="iconSet" priority="2" id="{3E4E4A94-9903-A144-80D2-6E0BB439CE85}">
            <x14:iconSet showValue="0" custom="1">
              <x14:cfvo type="percent">
                <xm:f>0</xm:f>
              </x14:cfvo>
              <x14:cfvo type="num" gte="0">
                <xm:f>1</xm:f>
              </x14:cfvo>
              <x14:cfvo type="num">
                <xm:f>2</xm:f>
              </x14:cfvo>
              <x14:cfIcon iconSet="5Rating" iconId="4"/>
              <x14:cfIcon iconSet="5Rating" iconId="2"/>
              <x14:cfIcon iconSet="5Rating" iconId="0"/>
            </x14:iconSet>
          </x14:cfRule>
          <xm:sqref>E12:E16</xm:sqref>
        </x14:conditionalFormatting>
        <x14:conditionalFormatting xmlns:xm="http://schemas.microsoft.com/office/excel/2006/main">
          <x14:cfRule type="iconSet" priority="14" id="{FABC1021-93C6-5D4C-9E40-947134523188}">
            <x14:iconSet showValue="0" custom="1">
              <x14:cfvo type="percent">
                <xm:f>0</xm:f>
              </x14:cfvo>
              <x14:cfvo type="num" gte="0">
                <xm:f>1</xm:f>
              </x14:cfvo>
              <x14:cfvo type="num">
                <xm:f>2</xm:f>
              </x14:cfvo>
              <x14:cfIcon iconSet="5Rating" iconId="4"/>
              <x14:cfIcon iconSet="5Rating" iconId="2"/>
              <x14:cfIcon iconSet="5Rating" iconId="0"/>
            </x14:iconSet>
          </x14:cfRule>
          <xm:sqref>E17</xm:sqref>
        </x14:conditionalFormatting>
        <x14:conditionalFormatting xmlns:xm="http://schemas.microsoft.com/office/excel/2006/main">
          <x14:cfRule type="iconSet" priority="38" id="{01959FD6-4578-524B-9D44-90F994FEE1BF}">
            <x14:iconSet showValue="0" custom="1">
              <x14:cfvo type="percent">
                <xm:f>0</xm:f>
              </x14:cfvo>
              <x14:cfvo type="num" gte="0">
                <xm:f>1</xm:f>
              </x14:cfvo>
              <x14:cfvo type="num">
                <xm:f>2</xm:f>
              </x14:cfvo>
              <x14:cfIcon iconSet="5Rating" iconId="4"/>
              <x14:cfIcon iconSet="5Rating" iconId="2"/>
              <x14:cfIcon iconSet="5Rating" iconId="0"/>
            </x14:iconSet>
          </x14:cfRule>
          <xm:sqref>E20:E24</xm:sqref>
        </x14:conditionalFormatting>
        <x14:conditionalFormatting xmlns:xm="http://schemas.microsoft.com/office/excel/2006/main">
          <x14:cfRule type="iconSet" priority="27" id="{124D68FE-F51B-2648-A496-402F18233295}">
            <x14:iconSet showValue="0" custom="1">
              <x14:cfvo type="percent">
                <xm:f>0</xm:f>
              </x14:cfvo>
              <x14:cfvo type="num" gte="0">
                <xm:f>1</xm:f>
              </x14:cfvo>
              <x14:cfvo type="num">
                <xm:f>2</xm:f>
              </x14:cfvo>
              <x14:cfIcon iconSet="5Rating" iconId="4"/>
              <x14:cfIcon iconSet="5Rating" iconId="2"/>
              <x14:cfIcon iconSet="5Rating" iconId="0"/>
            </x14:iconSet>
          </x14:cfRule>
          <xm:sqref>E27:E31</xm:sqref>
        </x14:conditionalFormatting>
        <x14:conditionalFormatting xmlns:xm="http://schemas.microsoft.com/office/excel/2006/main">
          <x14:cfRule type="iconSet" priority="11" id="{20AA2DCC-FEC9-9246-A341-C4BEC64BF8DF}">
            <x14:iconSet showValue="0" custom="1">
              <x14:cfvo type="percent">
                <xm:f>0</xm:f>
              </x14:cfvo>
              <x14:cfvo type="num" gte="0">
                <xm:f>1</xm:f>
              </x14:cfvo>
              <x14:cfvo type="num">
                <xm:f>2</xm:f>
              </x14:cfvo>
              <x14:cfIcon iconSet="5Rating" iconId="4"/>
              <x14:cfIcon iconSet="5Rating" iconId="2"/>
              <x14:cfIcon iconSet="5Rating" iconId="0"/>
            </x14:iconSet>
          </x14:cfRule>
          <xm:sqref>E32</xm:sqref>
        </x14:conditionalFormatting>
        <x14:conditionalFormatting xmlns:xm="http://schemas.microsoft.com/office/excel/2006/main">
          <x14:cfRule type="iconSet" priority="81" id="{0DC5817C-FB15-B444-8BBE-EB5014B723AD}">
            <x14:iconSet showValue="0" custom="1">
              <x14:cfvo type="percent">
                <xm:f>0</xm:f>
              </x14:cfvo>
              <x14:cfvo type="num" gte="0">
                <xm:f>1</xm:f>
              </x14:cfvo>
              <x14:cfvo type="num">
                <xm:f>2</xm:f>
              </x14:cfvo>
              <x14:cfIcon iconSet="5Rating" iconId="4"/>
              <x14:cfIcon iconSet="5Rating" iconId="2"/>
              <x14:cfIcon iconSet="5Rating" iconId="0"/>
            </x14:iconSet>
          </x14:cfRule>
          <xm:sqref>E35:E38</xm:sqref>
        </x14:conditionalFormatting>
        <x14:conditionalFormatting xmlns:xm="http://schemas.microsoft.com/office/excel/2006/main">
          <x14:cfRule type="iconSet" priority="76" id="{CC8F5A7E-C902-8B4B-A325-ACB76E293EAA}">
            <x14:iconSet showValue="0" custom="1">
              <x14:cfvo type="percent">
                <xm:f>0</xm:f>
              </x14:cfvo>
              <x14:cfvo type="num" gte="0">
                <xm:f>1</xm:f>
              </x14:cfvo>
              <x14:cfvo type="num">
                <xm:f>2</xm:f>
              </x14:cfvo>
              <x14:cfIcon iconSet="3Stars" iconId="2"/>
              <x14:cfIcon iconSet="3Stars" iconId="1"/>
              <x14:cfIcon iconSet="3Stars" iconId="0"/>
            </x14:iconSet>
          </x14:cfRule>
          <xm:sqref>F4:F9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9"/>
  <sheetViews>
    <sheetView topLeftCell="A13" zoomScale="150" zoomScaleNormal="150" workbookViewId="0">
      <selection activeCell="E15" sqref="E15"/>
    </sheetView>
  </sheetViews>
  <sheetFormatPr defaultColWidth="9" defaultRowHeight="11.5"/>
  <cols>
    <col min="1" max="1" width="15.5" style="31" bestFit="1" customWidth="1"/>
    <col min="2" max="2" width="5.58203125" style="31" customWidth="1"/>
    <col min="3" max="3" width="8.203125E-2" style="31" hidden="1" customWidth="1"/>
    <col min="4" max="4" width="22.33203125" style="31" bestFit="1" customWidth="1"/>
    <col min="5" max="16384" width="9" style="31"/>
  </cols>
  <sheetData>
    <row r="1" spans="1:6">
      <c r="A1" s="29" t="s">
        <v>106</v>
      </c>
      <c r="B1" s="29"/>
      <c r="C1" s="29" t="s">
        <v>107</v>
      </c>
      <c r="D1" s="29" t="s">
        <v>107</v>
      </c>
      <c r="E1" s="30"/>
      <c r="F1" s="30"/>
    </row>
    <row r="2" spans="1:6">
      <c r="A2" s="32"/>
      <c r="B2" s="32"/>
      <c r="C2" s="32"/>
    </row>
    <row r="3" spans="1:6">
      <c r="A3" s="32" t="s">
        <v>108</v>
      </c>
      <c r="B3" s="32">
        <v>1</v>
      </c>
      <c r="C3" s="32" t="s">
        <v>109</v>
      </c>
      <c r="D3" s="31" t="s">
        <v>110</v>
      </c>
    </row>
    <row r="4" spans="1:6">
      <c r="A4" s="32"/>
      <c r="B4" s="32">
        <v>2</v>
      </c>
      <c r="C4" s="32" t="s">
        <v>111</v>
      </c>
      <c r="D4" s="31" t="s">
        <v>112</v>
      </c>
    </row>
    <row r="5" spans="1:6">
      <c r="A5" s="32" t="s">
        <v>113</v>
      </c>
      <c r="B5" s="32">
        <v>3</v>
      </c>
      <c r="C5" s="32" t="s">
        <v>114</v>
      </c>
      <c r="D5" s="31" t="s">
        <v>115</v>
      </c>
    </row>
    <row r="6" spans="1:6">
      <c r="A6" s="32"/>
      <c r="B6" s="32"/>
      <c r="C6" s="32"/>
    </row>
    <row r="7" spans="1:6">
      <c r="A7" s="32" t="s">
        <v>116</v>
      </c>
      <c r="B7" s="32"/>
      <c r="C7" s="32" t="s">
        <v>117</v>
      </c>
    </row>
    <row r="8" spans="1:6">
      <c r="A8" s="32"/>
      <c r="B8" s="32">
        <v>1</v>
      </c>
      <c r="C8" s="32" t="s">
        <v>109</v>
      </c>
      <c r="D8" s="31" t="s">
        <v>110</v>
      </c>
    </row>
    <row r="9" spans="1:6">
      <c r="A9" s="32"/>
      <c r="B9" s="32">
        <v>2</v>
      </c>
      <c r="C9" s="32" t="s">
        <v>118</v>
      </c>
      <c r="D9" s="31" t="s">
        <v>119</v>
      </c>
    </row>
    <row r="10" spans="1:6">
      <c r="A10" s="32"/>
      <c r="B10" s="32">
        <v>3</v>
      </c>
      <c r="C10" s="32" t="s">
        <v>111</v>
      </c>
      <c r="D10" s="31" t="s">
        <v>112</v>
      </c>
    </row>
    <row r="11" spans="1:6">
      <c r="A11" s="32"/>
      <c r="B11" s="32">
        <v>4</v>
      </c>
      <c r="C11" s="32" t="s">
        <v>114</v>
      </c>
      <c r="D11" s="31" t="s">
        <v>115</v>
      </c>
    </row>
    <row r="12" spans="1:6">
      <c r="A12" s="32"/>
      <c r="B12" s="32"/>
      <c r="C12" s="32"/>
    </row>
    <row r="13" spans="1:6">
      <c r="A13" s="32" t="s">
        <v>120</v>
      </c>
      <c r="B13" s="32">
        <v>1</v>
      </c>
      <c r="C13" s="32" t="s">
        <v>109</v>
      </c>
      <c r="D13" s="96" t="s">
        <v>121</v>
      </c>
    </row>
    <row r="14" spans="1:6">
      <c r="A14" s="32"/>
      <c r="B14" s="32">
        <v>2</v>
      </c>
      <c r="C14" s="32" t="s">
        <v>122</v>
      </c>
      <c r="D14" s="96" t="s">
        <v>123</v>
      </c>
    </row>
    <row r="15" spans="1:6">
      <c r="A15" s="32"/>
      <c r="B15" s="32">
        <v>3</v>
      </c>
      <c r="C15" s="32" t="s">
        <v>124</v>
      </c>
      <c r="D15" s="96" t="s">
        <v>125</v>
      </c>
    </row>
    <row r="16" spans="1:6" ht="13.5" customHeight="1">
      <c r="A16" s="32"/>
      <c r="B16" s="32">
        <v>4</v>
      </c>
      <c r="C16" s="32" t="s">
        <v>126</v>
      </c>
      <c r="D16" s="96" t="s">
        <v>127</v>
      </c>
    </row>
    <row r="17" spans="1:8">
      <c r="A17" s="32"/>
      <c r="B17" s="32">
        <v>5</v>
      </c>
      <c r="C17" s="32" t="s">
        <v>128</v>
      </c>
      <c r="D17" s="96" t="s">
        <v>129</v>
      </c>
    </row>
    <row r="18" spans="1:8">
      <c r="A18" s="32" t="s">
        <v>130</v>
      </c>
      <c r="B18" s="32">
        <v>6</v>
      </c>
      <c r="C18" s="32" t="s">
        <v>114</v>
      </c>
      <c r="D18" s="96" t="s">
        <v>115</v>
      </c>
    </row>
    <row r="19" spans="1:8">
      <c r="A19" s="32"/>
      <c r="B19" s="32"/>
      <c r="C19" s="32"/>
    </row>
    <row r="20" spans="1:8">
      <c r="A20" s="32" t="s">
        <v>131</v>
      </c>
      <c r="B20" s="32">
        <v>1</v>
      </c>
      <c r="C20" s="32" t="s">
        <v>132</v>
      </c>
      <c r="D20" s="31" t="s">
        <v>133</v>
      </c>
    </row>
    <row r="21" spans="1:8">
      <c r="A21" s="32"/>
      <c r="B21" s="32">
        <v>2</v>
      </c>
      <c r="C21" s="32" t="s">
        <v>134</v>
      </c>
      <c r="D21" s="31" t="s">
        <v>123</v>
      </c>
    </row>
    <row r="22" spans="1:8">
      <c r="A22" s="32"/>
      <c r="B22" s="32">
        <v>3</v>
      </c>
      <c r="C22" s="32" t="s">
        <v>135</v>
      </c>
      <c r="D22" s="31" t="s">
        <v>136</v>
      </c>
    </row>
    <row r="23" spans="1:8">
      <c r="A23" s="32"/>
      <c r="B23" s="32">
        <v>4</v>
      </c>
      <c r="C23" s="32" t="s">
        <v>137</v>
      </c>
      <c r="D23" s="31" t="s">
        <v>138</v>
      </c>
    </row>
    <row r="24" spans="1:8">
      <c r="A24" s="32"/>
      <c r="B24" s="32">
        <v>5</v>
      </c>
      <c r="C24" s="32" t="s">
        <v>139</v>
      </c>
      <c r="D24" s="31" t="s">
        <v>129</v>
      </c>
    </row>
    <row r="25" spans="1:8">
      <c r="A25" s="32"/>
      <c r="B25" s="32">
        <v>6</v>
      </c>
      <c r="C25" s="32"/>
      <c r="D25" s="31" t="s">
        <v>115</v>
      </c>
    </row>
    <row r="26" spans="1:8">
      <c r="A26" s="32" t="s">
        <v>140</v>
      </c>
      <c r="B26" s="32">
        <v>1</v>
      </c>
      <c r="C26" s="32" t="s">
        <v>141</v>
      </c>
      <c r="D26" s="31" t="s">
        <v>133</v>
      </c>
    </row>
    <row r="27" spans="1:8">
      <c r="A27" s="32"/>
      <c r="B27" s="32">
        <v>2</v>
      </c>
      <c r="C27" s="32" t="s">
        <v>142</v>
      </c>
      <c r="D27" s="31" t="s">
        <v>143</v>
      </c>
      <c r="H27" s="33"/>
    </row>
    <row r="28" spans="1:8">
      <c r="A28" s="32"/>
      <c r="B28" s="32">
        <v>3</v>
      </c>
      <c r="C28" s="32" t="s">
        <v>144</v>
      </c>
      <c r="D28" s="31" t="s">
        <v>145</v>
      </c>
      <c r="H28" s="33"/>
    </row>
    <row r="29" spans="1:8">
      <c r="A29" s="32"/>
      <c r="B29" s="32">
        <v>4</v>
      </c>
      <c r="C29" s="32" t="s">
        <v>146</v>
      </c>
      <c r="D29" s="31" t="s">
        <v>147</v>
      </c>
      <c r="H29" s="33"/>
    </row>
    <row r="30" spans="1:8">
      <c r="A30" s="32"/>
      <c r="B30" s="32">
        <v>5</v>
      </c>
      <c r="C30" s="32" t="s">
        <v>148</v>
      </c>
      <c r="D30" s="31" t="s">
        <v>149</v>
      </c>
      <c r="H30" s="33"/>
    </row>
    <row r="31" spans="1:8">
      <c r="A31" s="32"/>
      <c r="B31" s="32"/>
      <c r="C31" s="32"/>
    </row>
    <row r="32" spans="1:8">
      <c r="A32" s="32" t="s">
        <v>150</v>
      </c>
      <c r="B32" s="32">
        <v>1</v>
      </c>
      <c r="C32" s="32" t="s">
        <v>151</v>
      </c>
    </row>
    <row r="33" spans="1:4">
      <c r="A33" s="32"/>
      <c r="B33" s="32">
        <v>2</v>
      </c>
      <c r="C33" s="32" t="s">
        <v>152</v>
      </c>
    </row>
    <row r="34" spans="1:4">
      <c r="A34" s="32"/>
      <c r="B34" s="32">
        <v>3</v>
      </c>
      <c r="C34" s="32" t="s">
        <v>153</v>
      </c>
    </row>
    <row r="35" spans="1:4">
      <c r="A35" s="32"/>
      <c r="B35" s="32">
        <v>4</v>
      </c>
      <c r="C35" s="32" t="s">
        <v>154</v>
      </c>
    </row>
    <row r="36" spans="1:4">
      <c r="A36" s="32"/>
      <c r="B36" s="32">
        <v>5</v>
      </c>
      <c r="C36" s="32" t="s">
        <v>155</v>
      </c>
    </row>
    <row r="37" spans="1:4">
      <c r="A37" s="32"/>
      <c r="B37" s="32"/>
      <c r="C37" s="32"/>
    </row>
    <row r="38" spans="1:4">
      <c r="A38" s="32" t="s">
        <v>156</v>
      </c>
      <c r="B38" s="32">
        <v>1</v>
      </c>
      <c r="C38" s="32" t="s">
        <v>157</v>
      </c>
      <c r="D38" s="31" t="s">
        <v>158</v>
      </c>
    </row>
    <row r="39" spans="1:4">
      <c r="A39" s="32"/>
      <c r="B39" s="32">
        <v>2</v>
      </c>
      <c r="C39" s="32" t="s">
        <v>159</v>
      </c>
      <c r="D39" s="31" t="s">
        <v>160</v>
      </c>
    </row>
    <row r="40" spans="1:4">
      <c r="A40" s="32"/>
      <c r="B40" s="32">
        <v>3</v>
      </c>
      <c r="C40" s="32" t="s">
        <v>124</v>
      </c>
      <c r="D40" s="31" t="s">
        <v>161</v>
      </c>
    </row>
    <row r="41" spans="1:4">
      <c r="A41" s="32"/>
      <c r="B41" s="32">
        <v>4</v>
      </c>
      <c r="C41" s="32" t="s">
        <v>126</v>
      </c>
      <c r="D41" s="31" t="s">
        <v>162</v>
      </c>
    </row>
    <row r="42" spans="1:4">
      <c r="A42" s="32"/>
      <c r="B42" s="32">
        <v>5</v>
      </c>
      <c r="C42" s="32" t="s">
        <v>163</v>
      </c>
      <c r="D42" s="31" t="s">
        <v>164</v>
      </c>
    </row>
    <row r="43" spans="1:4">
      <c r="A43" s="32"/>
      <c r="B43" s="32">
        <v>6</v>
      </c>
      <c r="C43" s="32"/>
      <c r="D43" s="31" t="s">
        <v>115</v>
      </c>
    </row>
    <row r="44" spans="1:4">
      <c r="A44" s="32" t="s">
        <v>165</v>
      </c>
      <c r="B44" s="32">
        <v>1</v>
      </c>
      <c r="C44" s="32" t="s">
        <v>109</v>
      </c>
      <c r="D44" s="31" t="s">
        <v>133</v>
      </c>
    </row>
    <row r="45" spans="1:4">
      <c r="A45" s="32"/>
      <c r="B45" s="32">
        <v>2</v>
      </c>
      <c r="C45" s="32" t="s">
        <v>166</v>
      </c>
      <c r="D45" s="31" t="s">
        <v>123</v>
      </c>
    </row>
    <row r="46" spans="1:4">
      <c r="A46" s="32"/>
      <c r="B46" s="32">
        <v>3</v>
      </c>
      <c r="C46" s="32" t="s">
        <v>124</v>
      </c>
      <c r="D46" s="31" t="s">
        <v>145</v>
      </c>
    </row>
    <row r="47" spans="1:4">
      <c r="A47" s="32"/>
      <c r="B47" s="32">
        <v>4</v>
      </c>
      <c r="C47" s="32" t="s">
        <v>126</v>
      </c>
      <c r="D47" s="31" t="s">
        <v>127</v>
      </c>
    </row>
    <row r="48" spans="1:4">
      <c r="A48" s="32"/>
      <c r="B48" s="32">
        <v>5</v>
      </c>
      <c r="C48" s="32" t="s">
        <v>128</v>
      </c>
      <c r="D48" s="31" t="s">
        <v>129</v>
      </c>
    </row>
    <row r="49" spans="1:4">
      <c r="A49" s="32"/>
      <c r="B49" s="32">
        <v>6</v>
      </c>
      <c r="C49" s="32"/>
      <c r="D49" s="31" t="s">
        <v>115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01"/>
  <sheetViews>
    <sheetView zoomScale="150" zoomScaleNormal="150" workbookViewId="0">
      <pane ySplit="1" topLeftCell="A55" activePane="bottomLeft" state="frozen"/>
      <selection activeCell="I29" sqref="I29"/>
      <selection pane="bottomLeft" activeCell="C4" sqref="C4"/>
    </sheetView>
  </sheetViews>
  <sheetFormatPr defaultColWidth="9" defaultRowHeight="14.5"/>
  <cols>
    <col min="1" max="1" width="23.83203125" style="69" customWidth="1"/>
    <col min="2" max="2" width="13" style="71" customWidth="1"/>
    <col min="3" max="3" width="15.5" style="71" customWidth="1"/>
    <col min="4" max="16384" width="9" style="66"/>
  </cols>
  <sheetData>
    <row r="1" spans="1:3" ht="58.5" thickBot="1">
      <c r="A1" s="65" t="s">
        <v>167</v>
      </c>
      <c r="B1" s="74" t="s">
        <v>168</v>
      </c>
      <c r="C1" s="70" t="s">
        <v>187</v>
      </c>
    </row>
    <row r="2" spans="1:3">
      <c r="A2" s="67" t="s">
        <v>1</v>
      </c>
      <c r="B2" s="75"/>
      <c r="C2" s="72" t="str">
        <f>IFERROR(AVERAGE(C3:C9),"NIET")</f>
        <v>NIET</v>
      </c>
    </row>
    <row r="3" spans="1:3">
      <c r="A3" s="68" t="s">
        <v>2</v>
      </c>
      <c r="B3" s="76">
        <v>6</v>
      </c>
      <c r="C3" s="73" t="str">
        <f t="shared" ref="C3:C9" si="0">IF(B3=6,"",IF(B3="","",B3))</f>
        <v/>
      </c>
    </row>
    <row r="4" spans="1:3">
      <c r="A4" s="68" t="s">
        <v>3</v>
      </c>
      <c r="B4" s="76">
        <v>6</v>
      </c>
      <c r="C4" s="73" t="str">
        <f t="shared" si="0"/>
        <v/>
      </c>
    </row>
    <row r="5" spans="1:3">
      <c r="A5" s="68" t="s">
        <v>4</v>
      </c>
      <c r="B5" s="76">
        <v>6</v>
      </c>
      <c r="C5" s="73" t="str">
        <f t="shared" si="0"/>
        <v/>
      </c>
    </row>
    <row r="6" spans="1:3">
      <c r="A6" s="68" t="s">
        <v>5</v>
      </c>
      <c r="B6" s="76">
        <v>6</v>
      </c>
      <c r="C6" s="73" t="str">
        <f t="shared" si="0"/>
        <v/>
      </c>
    </row>
    <row r="7" spans="1:3">
      <c r="A7" s="68" t="s">
        <v>6</v>
      </c>
      <c r="B7" s="76">
        <v>6</v>
      </c>
      <c r="C7" s="73" t="str">
        <f t="shared" si="0"/>
        <v/>
      </c>
    </row>
    <row r="8" spans="1:3">
      <c r="A8" s="68" t="s">
        <v>7</v>
      </c>
      <c r="B8" s="76">
        <v>6</v>
      </c>
      <c r="C8" s="73" t="str">
        <f t="shared" si="0"/>
        <v/>
      </c>
    </row>
    <row r="9" spans="1:3">
      <c r="A9" s="68" t="s">
        <v>8</v>
      </c>
      <c r="B9" s="76">
        <v>6</v>
      </c>
      <c r="C9" s="73" t="str">
        <f t="shared" si="0"/>
        <v/>
      </c>
    </row>
    <row r="11" spans="1:3">
      <c r="A11" s="67" t="s">
        <v>175</v>
      </c>
      <c r="B11" s="75"/>
      <c r="C11" s="72" t="str">
        <f>IFERROR(AVERAGE(C12:C14),"NIET")</f>
        <v>NIET</v>
      </c>
    </row>
    <row r="12" spans="1:3">
      <c r="A12" s="68" t="s">
        <v>325</v>
      </c>
      <c r="B12" s="76">
        <v>6</v>
      </c>
      <c r="C12" s="73" t="str">
        <f>IF(B12=6,"",IF(B12="","",B12))</f>
        <v/>
      </c>
    </row>
    <row r="13" spans="1:3">
      <c r="A13" s="68" t="s">
        <v>326</v>
      </c>
      <c r="B13" s="76">
        <v>6</v>
      </c>
      <c r="C13" s="73" t="str">
        <f>IF(B13=6,"",IF(B13="","",B13))</f>
        <v/>
      </c>
    </row>
    <row r="14" spans="1:3">
      <c r="A14" s="68" t="s">
        <v>327</v>
      </c>
      <c r="B14" s="76">
        <v>6</v>
      </c>
      <c r="C14" s="73" t="str">
        <f>IF(B14=6,"",IF(B14="","",B14))</f>
        <v/>
      </c>
    </row>
    <row r="16" spans="1:3">
      <c r="A16" s="67" t="s">
        <v>9</v>
      </c>
      <c r="B16" s="75"/>
      <c r="C16" s="72" t="str">
        <f>IFERROR(AVERAGE(C17:C19),"NIET")</f>
        <v>NIET</v>
      </c>
    </row>
    <row r="17" spans="1:3">
      <c r="A17" s="68" t="s">
        <v>11</v>
      </c>
      <c r="B17" s="76">
        <v>6</v>
      </c>
      <c r="C17" s="73" t="str">
        <f>IF(B17=6,"",IF(B17="","",B17))</f>
        <v/>
      </c>
    </row>
    <row r="18" spans="1:3">
      <c r="A18" s="68" t="s">
        <v>181</v>
      </c>
      <c r="B18" s="76">
        <v>6</v>
      </c>
      <c r="C18" s="73" t="str">
        <f>IF(B18=6,"",IF(B18="","",B18))</f>
        <v/>
      </c>
    </row>
    <row r="19" spans="1:3">
      <c r="A19" s="68" t="s">
        <v>253</v>
      </c>
      <c r="B19" s="76">
        <v>6</v>
      </c>
      <c r="C19" s="73" t="str">
        <f>IF(B19=6,"",IF(B19="","",B19))</f>
        <v/>
      </c>
    </row>
    <row r="21" spans="1:3">
      <c r="A21" s="67" t="s">
        <v>185</v>
      </c>
      <c r="B21" s="75"/>
      <c r="C21" s="72" t="str">
        <f>IFERROR(AVERAGE(C22:C24),"NIET")</f>
        <v>NIET</v>
      </c>
    </row>
    <row r="22" spans="1:3">
      <c r="A22" s="68" t="s">
        <v>179</v>
      </c>
      <c r="B22" s="76">
        <v>6</v>
      </c>
      <c r="C22" s="73" t="str">
        <f>IF(B22=6,"",IF(B22="","",B22))</f>
        <v/>
      </c>
    </row>
    <row r="23" spans="1:3">
      <c r="A23" s="68" t="s">
        <v>182</v>
      </c>
      <c r="B23" s="76">
        <v>6</v>
      </c>
      <c r="C23" s="73" t="str">
        <f>IF(B23=6,"",IF(B23="","",B23))</f>
        <v/>
      </c>
    </row>
    <row r="24" spans="1:3">
      <c r="A24" s="68" t="s">
        <v>254</v>
      </c>
      <c r="B24" s="76">
        <v>6</v>
      </c>
      <c r="C24" s="73" t="str">
        <f>IF(B24=6,"",IF(B24="","",B24))</f>
        <v/>
      </c>
    </row>
    <row r="26" spans="1:3">
      <c r="A26" s="67" t="s">
        <v>10</v>
      </c>
      <c r="B26" s="75"/>
      <c r="C26" s="72" t="str">
        <f>IFERROR(AVERAGE(C27:C29),"NIET")</f>
        <v>NIET</v>
      </c>
    </row>
    <row r="27" spans="1:3">
      <c r="A27" s="68" t="s">
        <v>12</v>
      </c>
      <c r="B27" s="76">
        <v>6</v>
      </c>
      <c r="C27" s="73" t="str">
        <f>IF(B27=6,"",IF(B27="","",B27))</f>
        <v/>
      </c>
    </row>
    <row r="28" spans="1:3">
      <c r="A28" s="68" t="s">
        <v>255</v>
      </c>
      <c r="B28" s="76">
        <v>6</v>
      </c>
      <c r="C28" s="73" t="str">
        <f>IF(B28=6,"",IF(B28="","",B28))</f>
        <v/>
      </c>
    </row>
    <row r="29" spans="1:3">
      <c r="A29" s="68" t="s">
        <v>13</v>
      </c>
      <c r="B29" s="76">
        <v>6</v>
      </c>
      <c r="C29" s="73" t="str">
        <f>IF(B29=6,"",IF(B29="","",B29))</f>
        <v/>
      </c>
    </row>
    <row r="31" spans="1:3">
      <c r="A31" s="67" t="str">
        <f>Tactiek!A3</f>
        <v>Werkgroepen</v>
      </c>
      <c r="B31" s="75"/>
      <c r="C31" s="72" t="str">
        <f>IFERROR(AVERAGE(C32:C34),"NIET")</f>
        <v>NIET</v>
      </c>
    </row>
    <row r="32" spans="1:3">
      <c r="A32" s="68" t="s">
        <v>27</v>
      </c>
      <c r="B32" s="76">
        <v>6</v>
      </c>
      <c r="C32" s="73" t="str">
        <f>IF(B32=6,"",IF(B32="","",B32))</f>
        <v/>
      </c>
    </row>
    <row r="33" spans="1:3">
      <c r="A33" s="68" t="s">
        <v>28</v>
      </c>
      <c r="B33" s="76">
        <v>6</v>
      </c>
      <c r="C33" s="73" t="str">
        <f>IF(B33=6,"",IF(B33="","",B33))</f>
        <v/>
      </c>
    </row>
    <row r="34" spans="1:3">
      <c r="A34" s="68" t="s">
        <v>29</v>
      </c>
      <c r="B34" s="76">
        <v>6</v>
      </c>
      <c r="C34" s="73" t="str">
        <f>IF(B34=6,"",IF(B34="","",B34))</f>
        <v/>
      </c>
    </row>
    <row r="36" spans="1:3">
      <c r="A36" s="67" t="str">
        <f>Tactiek!A7</f>
        <v>Adoptie &amp; Erkenning</v>
      </c>
      <c r="B36" s="75"/>
      <c r="C36" s="72" t="str">
        <f>IFERROR(AVERAGE(C37:C39),"NIET")</f>
        <v>NIET</v>
      </c>
    </row>
    <row r="37" spans="1:3">
      <c r="A37" s="68" t="s">
        <v>30</v>
      </c>
      <c r="B37" s="76">
        <v>6</v>
      </c>
      <c r="C37" s="73" t="str">
        <f>IF(B37=6,"",IF(B37="","",B37))</f>
        <v/>
      </c>
    </row>
    <row r="38" spans="1:3">
      <c r="A38" s="68" t="s">
        <v>31</v>
      </c>
      <c r="B38" s="76">
        <v>6</v>
      </c>
      <c r="C38" s="73" t="str">
        <f>IF(B38=6,"",IF(B38="","",B38))</f>
        <v/>
      </c>
    </row>
    <row r="39" spans="1:3">
      <c r="A39" s="68" t="s">
        <v>32</v>
      </c>
      <c r="B39" s="76">
        <v>6</v>
      </c>
      <c r="C39" s="73" t="str">
        <f>IF(B39=6,"",IF(B39="","",B39))</f>
        <v/>
      </c>
    </row>
    <row r="41" spans="1:3">
      <c r="A41" s="67" t="str">
        <f>Tactiek!A11</f>
        <v>Architectuur</v>
      </c>
      <c r="B41" s="75"/>
      <c r="C41" s="72" t="str">
        <f>IFERROR(AVERAGE(C42:C44),"NIET")</f>
        <v>NIET</v>
      </c>
    </row>
    <row r="42" spans="1:3">
      <c r="A42" s="68" t="s">
        <v>35</v>
      </c>
      <c r="B42" s="76">
        <v>6</v>
      </c>
      <c r="C42" s="73" t="str">
        <f>IF(B42=6,"",IF(B42="","",B42))</f>
        <v/>
      </c>
    </row>
    <row r="43" spans="1:3">
      <c r="A43" s="68" t="s">
        <v>36</v>
      </c>
      <c r="B43" s="76">
        <v>6</v>
      </c>
      <c r="C43" s="73" t="str">
        <f>IF(B43=6,"",IF(B43="","",B43))</f>
        <v/>
      </c>
    </row>
    <row r="44" spans="1:3">
      <c r="A44" s="68" t="s">
        <v>37</v>
      </c>
      <c r="B44" s="76">
        <v>6</v>
      </c>
      <c r="C44" s="73" t="str">
        <f>IF(B44=6,"",IF(B44="","",B44))</f>
        <v/>
      </c>
    </row>
    <row r="46" spans="1:3">
      <c r="A46" s="67" t="str">
        <f>Tactiek!A15</f>
        <v>Roadmapping</v>
      </c>
      <c r="B46" s="75"/>
      <c r="C46" s="72" t="str">
        <f>IFERROR(AVERAGE(C47:C47),"NIET")</f>
        <v>NIET</v>
      </c>
    </row>
    <row r="47" spans="1:3">
      <c r="A47" s="68" t="s">
        <v>67</v>
      </c>
      <c r="B47" s="76">
        <v>6</v>
      </c>
      <c r="C47" s="73" t="str">
        <f>IF(B47=6,"",IF(B47="","",B47))</f>
        <v/>
      </c>
    </row>
    <row r="49" spans="1:3">
      <c r="A49" s="67" t="str">
        <f>Tactiek!A17</f>
        <v>Risicoanalyse</v>
      </c>
      <c r="B49" s="75"/>
      <c r="C49" s="72" t="str">
        <f>IFERROR(AVERAGE(C50:C52),"NIET")</f>
        <v>NIET</v>
      </c>
    </row>
    <row r="50" spans="1:3">
      <c r="A50" s="68" t="s">
        <v>328</v>
      </c>
      <c r="B50" s="76">
        <v>6</v>
      </c>
      <c r="C50" s="73" t="str">
        <f>IF(B50=6,"",IF(B50="","",B50))</f>
        <v/>
      </c>
    </row>
    <row r="51" spans="1:3">
      <c r="A51" s="68" t="s">
        <v>329</v>
      </c>
      <c r="B51" s="76">
        <v>6</v>
      </c>
      <c r="C51" s="73" t="str">
        <f>IF(B51=6,"",IF(B51="","",B51))</f>
        <v/>
      </c>
    </row>
    <row r="52" spans="1:3">
      <c r="A52" s="68" t="s">
        <v>330</v>
      </c>
      <c r="B52" s="76">
        <v>6</v>
      </c>
      <c r="C52" s="73" t="str">
        <f>IF(B52=6,"",IF(B52="","",B52))</f>
        <v/>
      </c>
    </row>
    <row r="54" spans="1:3">
      <c r="A54" s="67" t="str">
        <f>Operationeel!A4</f>
        <v>Wensen &amp; eisen</v>
      </c>
      <c r="B54" s="75"/>
      <c r="C54" s="72" t="str">
        <f>IFERROR(AVERAGE(C55:C56),"NIET")</f>
        <v>NIET</v>
      </c>
    </row>
    <row r="55" spans="1:3">
      <c r="A55" s="68" t="s">
        <v>44</v>
      </c>
      <c r="B55" s="76">
        <v>6</v>
      </c>
      <c r="C55" s="73" t="str">
        <f>IF(B55=6,"",IF(B55="","",B55))</f>
        <v/>
      </c>
    </row>
    <row r="56" spans="1:3">
      <c r="A56" s="68" t="s">
        <v>45</v>
      </c>
      <c r="B56" s="76">
        <v>6</v>
      </c>
      <c r="C56" s="73" t="str">
        <f>IF(B56=6,"",IF(B56="","",B56))</f>
        <v/>
      </c>
    </row>
    <row r="58" spans="1:3">
      <c r="A58" s="67" t="str">
        <f>Operationeel!A7</f>
        <v>Ontwikkeling</v>
      </c>
      <c r="B58" s="75"/>
      <c r="C58" s="72" t="str">
        <f>IFERROR(AVERAGE(C59:C61),"NIET")</f>
        <v>NIET</v>
      </c>
    </row>
    <row r="59" spans="1:3">
      <c r="A59" s="68" t="s">
        <v>46</v>
      </c>
      <c r="B59" s="76">
        <v>6</v>
      </c>
      <c r="C59" s="73" t="str">
        <f>IF(B59=6,"",IF(B59="","",B59))</f>
        <v/>
      </c>
    </row>
    <row r="60" spans="1:3">
      <c r="A60" s="68" t="s">
        <v>47</v>
      </c>
      <c r="B60" s="76">
        <v>6</v>
      </c>
      <c r="C60" s="73" t="str">
        <f>IF(B60=6,"",IF(B60="","",B60))</f>
        <v/>
      </c>
    </row>
    <row r="61" spans="1:3">
      <c r="A61" s="68" t="s">
        <v>286</v>
      </c>
      <c r="B61" s="76">
        <v>6</v>
      </c>
      <c r="C61" s="73" t="str">
        <f>IF(B61=6,"",IF(B61="","",B61))</f>
        <v/>
      </c>
    </row>
    <row r="63" spans="1:3">
      <c r="A63" s="67" t="str">
        <f>Operationeel!A11</f>
        <v>Uitvoering</v>
      </c>
      <c r="B63" s="75"/>
      <c r="C63" s="72" t="str">
        <f>IFERROR(AVERAGE(C64:C64),"NIET")</f>
        <v>NIET</v>
      </c>
    </row>
    <row r="64" spans="1:3">
      <c r="A64" s="68" t="s">
        <v>48</v>
      </c>
      <c r="B64" s="76">
        <v>6</v>
      </c>
      <c r="C64" s="73" t="str">
        <f>IF(B64=6,"",IF(B64="","",B64))</f>
        <v/>
      </c>
    </row>
    <row r="66" spans="1:3">
      <c r="A66" s="67" t="str">
        <f>Operationeel!A13</f>
        <v>Documentatie</v>
      </c>
      <c r="B66" s="75"/>
      <c r="C66" s="72" t="str">
        <f>IFERROR(AVERAGE(C67:C69),"NIET")</f>
        <v>NIET</v>
      </c>
    </row>
    <row r="67" spans="1:3">
      <c r="A67" s="68" t="s">
        <v>49</v>
      </c>
      <c r="B67" s="76">
        <v>6</v>
      </c>
      <c r="C67" s="73" t="str">
        <f>IF(B67=6,"",IF(B67="","",B67))</f>
        <v/>
      </c>
    </row>
    <row r="68" spans="1:3">
      <c r="A68" s="68" t="s">
        <v>50</v>
      </c>
      <c r="B68" s="76">
        <v>6</v>
      </c>
      <c r="C68" s="73" t="str">
        <f>IF(B68=6,"",IF(B68="","",B68))</f>
        <v/>
      </c>
    </row>
    <row r="69" spans="1:3">
      <c r="A69" s="68" t="s">
        <v>51</v>
      </c>
      <c r="B69" s="76">
        <v>6</v>
      </c>
      <c r="C69" s="73" t="str">
        <f>IF(B69=6,"",IF(B69="","",B69))</f>
        <v/>
      </c>
    </row>
    <row r="71" spans="1:3">
      <c r="A71" s="67" t="str">
        <f>'Implementatie Ondersteuning'!A3:B3</f>
        <v>Opleiding</v>
      </c>
      <c r="B71" s="75"/>
      <c r="C71" s="72" t="str">
        <f>IFERROR(AVERAGE(C72:C72),"NIET")</f>
        <v>NIET</v>
      </c>
    </row>
    <row r="72" spans="1:3">
      <c r="A72" s="68" t="s">
        <v>20</v>
      </c>
      <c r="B72" s="76">
        <v>6</v>
      </c>
      <c r="C72" s="73" t="str">
        <f>IF(B72=6,"",IF(B72="","",B72))</f>
        <v/>
      </c>
    </row>
    <row r="74" spans="1:3">
      <c r="A74" s="67" t="str">
        <f>'Implementatie Ondersteuning'!A5:B5</f>
        <v>Ondersteuning</v>
      </c>
      <c r="B74" s="75"/>
      <c r="C74" s="72" t="str">
        <f>IFERROR(AVERAGE(C75:C76),"NIET")</f>
        <v>NIET</v>
      </c>
    </row>
    <row r="75" spans="1:3">
      <c r="A75" s="68" t="s">
        <v>21</v>
      </c>
      <c r="B75" s="76">
        <v>6</v>
      </c>
      <c r="C75" s="73" t="str">
        <f>IF(B75=6,"",IF(B75="","",B75))</f>
        <v/>
      </c>
    </row>
    <row r="76" spans="1:3">
      <c r="A76" s="68" t="s">
        <v>22</v>
      </c>
      <c r="B76" s="76">
        <v>6</v>
      </c>
      <c r="C76" s="73" t="str">
        <f>IF(B76=6,"",IF(B76="","",B76))</f>
        <v/>
      </c>
    </row>
    <row r="78" spans="1:3">
      <c r="A78" s="67" t="str">
        <f>'Implementatie Ondersteuning'!A8:B8</f>
        <v>Module Ontwikkeling</v>
      </c>
      <c r="B78" s="75"/>
      <c r="C78" s="72" t="str">
        <f>IFERROR(AVERAGE(C79:C79),"NIET")</f>
        <v>NIET</v>
      </c>
    </row>
    <row r="79" spans="1:3">
      <c r="A79" s="68" t="s">
        <v>33</v>
      </c>
      <c r="B79" s="76">
        <v>6</v>
      </c>
      <c r="C79" s="73" t="str">
        <f>IF(B79=6,"",IF(B79="","",B79))</f>
        <v/>
      </c>
    </row>
    <row r="81" spans="1:3">
      <c r="A81" s="67" t="str">
        <f>'Implementatie Ondersteuning'!A10:B10</f>
        <v>Pilot/vernieuwing</v>
      </c>
      <c r="B81" s="75"/>
      <c r="C81" s="72" t="str">
        <f>IFERROR(AVERAGE(C82:C83),"NIET")</f>
        <v>NIET</v>
      </c>
    </row>
    <row r="82" spans="1:3">
      <c r="A82" s="68" t="s">
        <v>17</v>
      </c>
      <c r="B82" s="76">
        <v>6</v>
      </c>
      <c r="C82" s="73" t="str">
        <f>IF(B82=6,"",IF(B82="","",B82))</f>
        <v/>
      </c>
    </row>
    <row r="83" spans="1:3">
      <c r="A83" s="68" t="s">
        <v>18</v>
      </c>
      <c r="B83" s="76">
        <v>6</v>
      </c>
      <c r="C83" s="73" t="str">
        <f>IF(B83=6,"",IF(B83="","",B83))</f>
        <v/>
      </c>
    </row>
    <row r="85" spans="1:3">
      <c r="A85" s="67" t="str">
        <f>'Implementatie Ondersteuning'!A13:B13</f>
        <v>Validatie &amp; Certificatie</v>
      </c>
      <c r="B85" s="75"/>
      <c r="C85" s="72" t="str">
        <f>IFERROR(AVERAGE(C86:C87),"NIET")</f>
        <v>NIET</v>
      </c>
    </row>
    <row r="86" spans="1:3">
      <c r="A86" s="68" t="s">
        <v>23</v>
      </c>
      <c r="B86" s="76">
        <v>6</v>
      </c>
      <c r="C86" s="73" t="str">
        <f>IF(B86=6,"",IF(B86="","",B86))</f>
        <v/>
      </c>
    </row>
    <row r="87" spans="1:3">
      <c r="A87" s="68" t="s">
        <v>24</v>
      </c>
      <c r="B87" s="76">
        <v>6</v>
      </c>
      <c r="C87" s="73" t="str">
        <f>IF(B87=6,"",IF(B87="","",B87))</f>
        <v/>
      </c>
    </row>
    <row r="89" spans="1:3">
      <c r="A89" s="67" t="str">
        <f>Communicatie!A2</f>
        <v>Promotie</v>
      </c>
      <c r="B89" s="75"/>
      <c r="C89" s="72" t="str">
        <f>IFERROR(AVERAGE(C90:C92),"NIET")</f>
        <v>NIET</v>
      </c>
    </row>
    <row r="90" spans="1:3">
      <c r="A90" s="68" t="s">
        <v>56</v>
      </c>
      <c r="B90" s="76">
        <v>6</v>
      </c>
      <c r="C90" s="73" t="str">
        <f>IF(B90=6,"",IF(B90="","",B90))</f>
        <v/>
      </c>
    </row>
    <row r="91" spans="1:3">
      <c r="A91" s="68" t="s">
        <v>57</v>
      </c>
      <c r="B91" s="76">
        <v>6</v>
      </c>
      <c r="C91" s="73" t="str">
        <f>IF(B91=6,"",IF(B91="","",B91))</f>
        <v/>
      </c>
    </row>
    <row r="92" spans="1:3">
      <c r="A92" s="68" t="s">
        <v>267</v>
      </c>
      <c r="B92" s="76">
        <v>6</v>
      </c>
      <c r="C92" s="73" t="str">
        <f>IF(B92=6,"",IF(B92="","",B92))</f>
        <v/>
      </c>
    </row>
    <row r="94" spans="1:3">
      <c r="A94" s="67" t="str">
        <f>Communicatie!A6</f>
        <v>Publicatie</v>
      </c>
      <c r="B94" s="75"/>
      <c r="C94" s="72" t="str">
        <f>IFERROR(AVERAGE(C95:C97),"NIET")</f>
        <v>NIET</v>
      </c>
    </row>
    <row r="95" spans="1:3">
      <c r="A95" s="68" t="s">
        <v>58</v>
      </c>
      <c r="B95" s="76">
        <v>6</v>
      </c>
      <c r="C95" s="73" t="str">
        <f>IF(B95=6,"",IF(B95="","",B95))</f>
        <v/>
      </c>
    </row>
    <row r="96" spans="1:3">
      <c r="A96" s="68" t="s">
        <v>59</v>
      </c>
      <c r="B96" s="76">
        <v>6</v>
      </c>
      <c r="C96" s="73" t="str">
        <f>IF(B96=6,"",IF(B96="","",B96))</f>
        <v/>
      </c>
    </row>
    <row r="97" spans="1:3">
      <c r="A97" s="68" t="s">
        <v>265</v>
      </c>
      <c r="B97" s="76">
        <v>6</v>
      </c>
      <c r="C97" s="73" t="str">
        <f>IF(B97=6,"",IF(B97="","",B97))</f>
        <v/>
      </c>
    </row>
    <row r="99" spans="1:3">
      <c r="A99" s="67" t="str">
        <f>Communicatie!A10</f>
        <v>Klachtenafhandeling</v>
      </c>
      <c r="B99" s="75"/>
      <c r="C99" s="72" t="str">
        <f>IFERROR(AVERAGE(C100:C101),"NIET")</f>
        <v>NIET</v>
      </c>
    </row>
    <row r="100" spans="1:3">
      <c r="A100" s="68" t="s">
        <v>60</v>
      </c>
      <c r="B100" s="76">
        <v>6</v>
      </c>
      <c r="C100" s="73" t="str">
        <f>IF(B100=6,"",IF(B100="","",B100))</f>
        <v/>
      </c>
    </row>
    <row r="101" spans="1:3">
      <c r="A101" s="68" t="s">
        <v>268</v>
      </c>
      <c r="B101" s="76">
        <v>6</v>
      </c>
      <c r="C101" s="73" t="str">
        <f>IF(B101=6,"",IF(B101="","",B101))</f>
        <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10</vt:i4>
      </vt:variant>
      <vt:variant>
        <vt:lpstr>Benoemde bereiken</vt:lpstr>
      </vt:variant>
      <vt:variant>
        <vt:i4>1</vt:i4>
      </vt:variant>
    </vt:vector>
  </HeadingPairs>
  <TitlesOfParts>
    <vt:vector size="11" baseType="lpstr">
      <vt:lpstr>Toelichting</vt:lpstr>
      <vt:lpstr>Strategie</vt:lpstr>
      <vt:lpstr>Tactiek</vt:lpstr>
      <vt:lpstr>Operationeel</vt:lpstr>
      <vt:lpstr>Implementatie Ondersteuning</vt:lpstr>
      <vt:lpstr>Communicatie</vt:lpstr>
      <vt:lpstr>Open</vt:lpstr>
      <vt:lpstr>Resultaten</vt:lpstr>
      <vt:lpstr>_invoervelden</vt:lpstr>
      <vt:lpstr>_output</vt:lpstr>
      <vt:lpstr>Resultaten!Afdrukbereik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Ruud Böhmer</dc:creator>
  <cp:lastModifiedBy>Boer, Sander</cp:lastModifiedBy>
  <dcterms:created xsi:type="dcterms:W3CDTF">2020-02-20T14:07:09Z</dcterms:created>
  <dcterms:modified xsi:type="dcterms:W3CDTF">2026-09-23T13:17:38Z</dcterms:modified>
</cp:coreProperties>
</file>